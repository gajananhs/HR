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lags" sheetId="2" state="visible" r:id="rId4"/>
    <sheet name="Skill links" sheetId="3" state="visible" r:id="rId5"/>
    <sheet name="Payroll links" sheetId="4" state="visible" r:id="rId6"/>
    <sheet name="Employee maste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<sst xmlns="http://schemas.openxmlformats.org/spreadsheetml/2006/main" count="485" uniqueCount="282">
  <si>
    <t xml:space="preserve">Quickair HR — data import review</t>
  </si>
  <si>
    <t xml:space="preserve">Generated 12 Oct 2026 from the files supplied by the user</t>
  </si>
  <si>
    <t xml:space="preserve">Item</t>
  </si>
  <si>
    <t xml:space="preserve">Count</t>
  </si>
  <si>
    <t xml:space="preserve">employees</t>
  </si>
  <si>
    <t xml:space="preserve">salaryRows</t>
  </si>
  <si>
    <t xml:space="preserve">skillSheets</t>
  </si>
  <si>
    <t xml:space="preserve">skillPeople</t>
  </si>
  <si>
    <t xml:space="preserve">skillLinked</t>
  </si>
  <si>
    <t xml:space="preserve">Flags — high</t>
  </si>
  <si>
    <t xml:space="preserve">Flags — medium</t>
  </si>
  <si>
    <t xml:space="preserve">Flags — low</t>
  </si>
  <si>
    <t xml:space="preserve">How to use</t>
  </si>
  <si>
    <t xml:space="preserve">1. "Flags" lists every issue found; nothing was filled in with dummy values.</t>
  </si>
  <si>
    <t xml:space="preserve">2. "Skill links": confirm the 8 name-matched links; for the rest enter the correct code in the yellow column.</t>
  </si>
  <si>
    <t xml:space="preserve">3. "Payroll links": enter the employee code for each Sl No in the yellow column (or link inside the app). Name fills automatically.</t>
  </si>
  <si>
    <t xml:space="preserve">Example: Sl No 1 → CAPL_1001 shows "H S Gajanan" in the next column.</t>
  </si>
  <si>
    <t xml:space="preserve">Severity</t>
  </si>
  <si>
    <t xml:space="preserve">Area</t>
  </si>
  <si>
    <t xml:space="preserve">Detail</t>
  </si>
  <si>
    <t xml:space="preserve">high</t>
  </si>
  <si>
    <t xml:space="preserve">Salary register</t>
  </si>
  <si>
    <t xml:space="preserve">All rows</t>
  </si>
  <si>
    <t xml:space="preserve">Employee's Name column is blank in all 50 rows (UAN on 4 only) — salary cannot be linked to employee codes from the file; map each Sl No in the Pay screen</t>
  </si>
  <si>
    <t xml:space="preserve">Skill matrix</t>
  </si>
  <si>
    <t xml:space="preserve">Assembly › Tejaswini</t>
  </si>
  <si>
    <t xml:space="preserve">Not in employee master — shown in Skills only, no code assigned</t>
  </si>
  <si>
    <t xml:space="preserve">Assembly › Laxman</t>
  </si>
  <si>
    <t xml:space="preserve">Store › Shivalingaih</t>
  </si>
  <si>
    <t xml:space="preserve">Store › Santhosh</t>
  </si>
  <si>
    <t xml:space="preserve">Ambiguous — matches CAPL_1057 Santhosh R, CAPL_1121 Santhosh S H — not linked</t>
  </si>
  <si>
    <t xml:space="preserve">Testing › Shivam</t>
  </si>
  <si>
    <t xml:space="preserve">Testing › Pankaj</t>
  </si>
  <si>
    <t xml:space="preserve">Pipe Section › Satish</t>
  </si>
  <si>
    <t xml:space="preserve">Ambiguous — matches CAPL_1038 Sathish B, CAPL_1124 Gutte Sathish — not linked</t>
  </si>
  <si>
    <t xml:space="preserve">Pipe Section › Ashoka</t>
  </si>
  <si>
    <t xml:space="preserve">Machine Shop › Abzal</t>
  </si>
  <si>
    <t xml:space="preserve">Internal Sales › Shilpa kumar</t>
  </si>
  <si>
    <t xml:space="preserve">Conveyor › MAHESH M</t>
  </si>
  <si>
    <t xml:space="preserve">Conveyor › SHANKAR</t>
  </si>
  <si>
    <t xml:space="preserve">Not in employee master (sheet ID EC196 is not a CAPL code) — shown in Skills only, no code assigned</t>
  </si>
  <si>
    <t xml:space="preserve">Conveyor › YESHWANTH S</t>
  </si>
  <si>
    <t xml:space="preserve">Not in employee master (sheet ID EC188 is not a CAPL code) — shown in Skills only, no code assigned</t>
  </si>
  <si>
    <t xml:space="preserve">Quality › Prashanth</t>
  </si>
  <si>
    <t xml:space="preserve">Quality › Lohith</t>
  </si>
  <si>
    <t xml:space="preserve">Moulding › Mohan</t>
  </si>
  <si>
    <t xml:space="preserve">Ambiguous — matches CAPL_1052 Mohana K N, CAPL_1122 Mohana N — not linked</t>
  </si>
  <si>
    <t xml:space="preserve">medium</t>
  </si>
  <si>
    <t xml:space="preserve">Sl No</t>
  </si>
  <si>
    <t xml:space="preserve">Sequence gap — Sl No [49] not present; order is [48, 51, 50] at the end</t>
  </si>
  <si>
    <t xml:space="preserve">Ball Valve</t>
  </si>
  <si>
    <t xml:space="preserve">Template only — 15 skills defined, no employees rated (83a18923-BALL_VALVE_SKILL_MATERIX.xlsx › Quality)</t>
  </si>
  <si>
    <t xml:space="preserve">No ratings entered</t>
  </si>
  <si>
    <t xml:space="preserve">20 skill(s) have an Expected level but no Current rating — treated as "not assessed"</t>
  </si>
  <si>
    <t xml:space="preserve">Quality › Shivukumar</t>
  </si>
  <si>
    <t xml:space="preserve">3 skill(s) have an Expected level but no Current rating — treated as "not assessed"</t>
  </si>
  <si>
    <t xml:space="preserve">1 skill(s) have an Expected level but no Current rating — treated as "not assessed"</t>
  </si>
  <si>
    <t xml:space="preserve">low</t>
  </si>
  <si>
    <t xml:space="preserve">Sl 34 (row 39)</t>
  </si>
  <si>
    <t xml:space="preserve">Fractional amount in otherEarnings: 11594.84</t>
  </si>
  <si>
    <t xml:space="preserve">Sl 41 (row 46)</t>
  </si>
  <si>
    <t xml:space="preserve">DOJ blank</t>
  </si>
  <si>
    <t xml:space="preserve">Sl 42 (row 47)</t>
  </si>
  <si>
    <t xml:space="preserve">Sl 44 (row 49)</t>
  </si>
  <si>
    <t xml:space="preserve">Sl 45 (row 50)</t>
  </si>
  <si>
    <t xml:space="preserve">Side notes</t>
  </si>
  <si>
    <t xml:space="preserve">Working notes in columns AM–AR and below the Total row (e.g. "kumta", "direcotrs", "jayalakshmi", "sathish", "pintu") are not employee rows — ignored, not imported</t>
  </si>
  <si>
    <t xml:space="preserve">43575642-ASSEMBLY_TESTING_AND_STORE_DISPATCH.xlsx › Sheet3</t>
  </si>
  <si>
    <t xml:space="preserve">Unrelated staff list (IDs 4–75, e.g. "KALIRAJ GURUSAMY", "General Manager - ASIA") — no CAPL code/name match; not imported</t>
  </si>
  <si>
    <t xml:space="preserve">63409ce0-skill_matrix_-_Machineshop.xlsx › Sheet3</t>
  </si>
  <si>
    <t xml:space="preserve">83a18923-BALL_VALVE_SKILL_MATERIX.xlsx › Sheet3</t>
  </si>
  <si>
    <t xml:space="preserve">BALL_VALVE_SKILL_MATERIX › Quality</t>
  </si>
  <si>
    <t xml:space="preserve">Sheet is named "Quality" but holds Ball Valve production skills (dept "Production")</t>
  </si>
  <si>
    <t xml:space="preserve">850be9b0-skill_matrix_-Internal.xlsx › Sheet3</t>
  </si>
  <si>
    <t xml:space="preserve">b0f35113-CONVEYOR_TEAM_SKILL_MATRIX.xlsx › Sheet3</t>
  </si>
  <si>
    <t xml:space="preserve">c478cdb4-skill_matrix_-_Quality22-08-2026.xlsx › Sheet3</t>
  </si>
  <si>
    <t xml:space="preserve">d666cbe8-skill_matrix_-_Moulding.xlsx › Sheet3</t>
  </si>
  <si>
    <t xml:space="preserve">Store › Ramakrishna</t>
  </si>
  <si>
    <t xml:space="preserve">Linked to CAPL_1086 Ramakrishna Kodagunti by unique name match — please confirm</t>
  </si>
  <si>
    <t xml:space="preserve">Store › Ganesha</t>
  </si>
  <si>
    <t xml:space="preserve">Linked to CAPL_1032 Ganesh Govintharaju by unique name match — please confirm</t>
  </si>
  <si>
    <t xml:space="preserve">Machine Shop › Renukaprasad</t>
  </si>
  <si>
    <t xml:space="preserve">Linked to CAPL_1034 Renuka Prasad N by unique name match — please confirm</t>
  </si>
  <si>
    <t xml:space="preserve">Machine Shop › Amith</t>
  </si>
  <si>
    <t xml:space="preserve">Linked to CAPL_1033 Amit Kumar Rai by unique name match — please confirm</t>
  </si>
  <si>
    <t xml:space="preserve">Linked to CAPL_1007 Shivakumar G H by unique name match — please confirm</t>
  </si>
  <si>
    <t xml:space="preserve">Moulding › Ravindra</t>
  </si>
  <si>
    <t xml:space="preserve">Linked to CAPL_1131 Ravindra Kumar by unique name match — please confirm</t>
  </si>
  <si>
    <t xml:space="preserve">Current above Expected for: Job card/Plan sheet filling (Planned vs Actual), Process knownledge — check whether columns were swapped</t>
  </si>
  <si>
    <t xml:space="preserve">Current above Expected for: AS 9100 Rev D Basic Awarness ( Product / Processs), Personal Safety — check whether columns were swapped</t>
  </si>
  <si>
    <t xml:space="preserve">Department</t>
  </si>
  <si>
    <t xml:space="preserve">Name in skill sheet</t>
  </si>
  <si>
    <t xml:space="preserve">ID in sheet</t>
  </si>
  <si>
    <t xml:space="preserve">Match</t>
  </si>
  <si>
    <t xml:space="preserve">Linked code</t>
  </si>
  <si>
    <t xml:space="preserve">Candidates</t>
  </si>
  <si>
    <t xml:space="preserve">Correct code (fill)</t>
  </si>
  <si>
    <t xml:space="preserve">Master name (auto)</t>
  </si>
  <si>
    <t xml:space="preserve">Assembly</t>
  </si>
  <si>
    <t xml:space="preserve">Jayamma</t>
  </si>
  <si>
    <t xml:space="preserve">exact</t>
  </si>
  <si>
    <t xml:space="preserve">CAPL_1014</t>
  </si>
  <si>
    <t xml:space="preserve">Tejaswini</t>
  </si>
  <si>
    <t xml:space="preserve">none</t>
  </si>
  <si>
    <t xml:space="preserve">Laxman</t>
  </si>
  <si>
    <t xml:space="preserve">Store</t>
  </si>
  <si>
    <t xml:space="preserve">Ramakrishna</t>
  </si>
  <si>
    <t xml:space="preserve">name</t>
  </si>
  <si>
    <t xml:space="preserve">CAPL_1086</t>
  </si>
  <si>
    <t xml:space="preserve">Ganesha</t>
  </si>
  <si>
    <t xml:space="preserve">CAPL_1032</t>
  </si>
  <si>
    <t xml:space="preserve">Shivalingaih</t>
  </si>
  <si>
    <t xml:space="preserve">Santhosh</t>
  </si>
  <si>
    <t xml:space="preserve">ambiguous</t>
  </si>
  <si>
    <t xml:space="preserve">CAPL_1057, CAPL_1121</t>
  </si>
  <si>
    <t xml:space="preserve">Testing</t>
  </si>
  <si>
    <t xml:space="preserve">Shivam</t>
  </si>
  <si>
    <t xml:space="preserve">Pankaj</t>
  </si>
  <si>
    <t xml:space="preserve">Pipe Section</t>
  </si>
  <si>
    <t xml:space="preserve">Satish</t>
  </si>
  <si>
    <t xml:space="preserve">CAPL_1038, CAPL_1124</t>
  </si>
  <si>
    <t xml:space="preserve">Ashoka</t>
  </si>
  <si>
    <t xml:space="preserve">Machine Shop</t>
  </si>
  <si>
    <t xml:space="preserve">Renukaprasad</t>
  </si>
  <si>
    <t xml:space="preserve">CAPL_1034</t>
  </si>
  <si>
    <t xml:space="preserve">Amith</t>
  </si>
  <si>
    <t xml:space="preserve">CAPL_1033</t>
  </si>
  <si>
    <t xml:space="preserve">Velu</t>
  </si>
  <si>
    <t xml:space="preserve">CAPL_1036</t>
  </si>
  <si>
    <t xml:space="preserve">Abzal</t>
  </si>
  <si>
    <t xml:space="preserve">Internal Sales</t>
  </si>
  <si>
    <t xml:space="preserve">Shilpa kumar</t>
  </si>
  <si>
    <t xml:space="preserve">Conveyor</t>
  </si>
  <si>
    <t xml:space="preserve">MAHESH M</t>
  </si>
  <si>
    <t xml:space="preserve">SHANKAR</t>
  </si>
  <si>
    <t xml:space="preserve">EC196</t>
  </si>
  <si>
    <t xml:space="preserve">YESHWANTH S</t>
  </si>
  <si>
    <t xml:space="preserve">EC188</t>
  </si>
  <si>
    <t xml:space="preserve">Quality</t>
  </si>
  <si>
    <t xml:space="preserve">Prashanth</t>
  </si>
  <si>
    <t xml:space="preserve">Shivukumar</t>
  </si>
  <si>
    <t xml:space="preserve">CAPL_1007</t>
  </si>
  <si>
    <t xml:space="preserve">Lohith</t>
  </si>
  <si>
    <t xml:space="preserve">Moulding</t>
  </si>
  <si>
    <t xml:space="preserve">Mohan</t>
  </si>
  <si>
    <t xml:space="preserve">CAPL_1052, CAPL_1122</t>
  </si>
  <si>
    <t xml:space="preserve">Ravindra</t>
  </si>
  <si>
    <t xml:space="preserve">CAPL_1131</t>
  </si>
  <si>
    <t xml:space="preserve">DOJ</t>
  </si>
  <si>
    <t xml:space="preserve">UAN</t>
  </si>
  <si>
    <t xml:space="preserve">Pay days</t>
  </si>
  <si>
    <t xml:space="preserve">Employee code (fill)</t>
  </si>
  <si>
    <t xml:space="preserve">Employee name (auto)</t>
  </si>
  <si>
    <t xml:space="preserve">Check</t>
  </si>
  <si>
    <t xml:space="preserve">2022-04-01</t>
  </si>
  <si>
    <t xml:space="preserve">2022-09-01</t>
  </si>
  <si>
    <t xml:space="preserve">2022-11-01</t>
  </si>
  <si>
    <t xml:space="preserve">2023-01-01</t>
  </si>
  <si>
    <t xml:space="preserve">2023-06-12</t>
  </si>
  <si>
    <t xml:space="preserve">2023-09-06</t>
  </si>
  <si>
    <t xml:space="preserve">2023-09-11</t>
  </si>
  <si>
    <t xml:space="preserve">2024-01-13</t>
  </si>
  <si>
    <t xml:space="preserve">2024-01-25</t>
  </si>
  <si>
    <t xml:space="preserve">2024-02-01</t>
  </si>
  <si>
    <t xml:space="preserve">2024-05-06</t>
  </si>
  <si>
    <t xml:space="preserve">2023-07-10</t>
  </si>
  <si>
    <t xml:space="preserve">2024-12-18</t>
  </si>
  <si>
    <t xml:space="preserve">2024-11-25</t>
  </si>
  <si>
    <t xml:space="preserve">2025-02-18</t>
  </si>
  <si>
    <t xml:space="preserve">2025-07-01</t>
  </si>
  <si>
    <t xml:space="preserve">2025-11-07</t>
  </si>
  <si>
    <t xml:space="preserve">2025-11-01</t>
  </si>
  <si>
    <t xml:space="preserve">2026-04-01</t>
  </si>
  <si>
    <t xml:space="preserve">2026-06-01</t>
  </si>
  <si>
    <t xml:space="preserve">101583624522</t>
  </si>
  <si>
    <t xml:space="preserve">2026-06-17</t>
  </si>
  <si>
    <t xml:space="preserve">101367227497</t>
  </si>
  <si>
    <t xml:space="preserve">101912134137</t>
  </si>
  <si>
    <t xml:space="preserve">2026-07-01</t>
  </si>
  <si>
    <t xml:space="preserve">101357887707</t>
  </si>
  <si>
    <t xml:space="preserve">2026-07-28</t>
  </si>
  <si>
    <t xml:space="preserve">Salary amounts deliberately left out of this sheet. Source: 0a4b9f5c-salary_statement_format_2.xlsx (July 2026).</t>
  </si>
  <si>
    <t xml:space="preserve">Employee code</t>
  </si>
  <si>
    <t xml:space="preserve">Name</t>
  </si>
  <si>
    <t xml:space="preserve">Department (from skill matrix)</t>
  </si>
  <si>
    <t xml:space="preserve">CAPL_1001</t>
  </si>
  <si>
    <t xml:space="preserve">H S Gajanan</t>
  </si>
  <si>
    <t xml:space="preserve">CAPL_1002</t>
  </si>
  <si>
    <t xml:space="preserve">Shubha Gajanan</t>
  </si>
  <si>
    <t xml:space="preserve">CAPL_1003</t>
  </si>
  <si>
    <t xml:space="preserve">Jayakanth E</t>
  </si>
  <si>
    <t xml:space="preserve">CAPL_1004</t>
  </si>
  <si>
    <t xml:space="preserve">Mahesh V H</t>
  </si>
  <si>
    <t xml:space="preserve">CAPL_1006</t>
  </si>
  <si>
    <t xml:space="preserve">Ramji Lal</t>
  </si>
  <si>
    <t xml:space="preserve">Shivakumar G H</t>
  </si>
  <si>
    <t xml:space="preserve">CAPL_1009</t>
  </si>
  <si>
    <t xml:space="preserve">Lakshmi</t>
  </si>
  <si>
    <t xml:space="preserve">CAPL_1010</t>
  </si>
  <si>
    <t xml:space="preserve">M Krishnappa</t>
  </si>
  <si>
    <t xml:space="preserve">CAPL_1017</t>
  </si>
  <si>
    <t xml:space="preserve">R Hemalatha</t>
  </si>
  <si>
    <t xml:space="preserve">CAPL_1021</t>
  </si>
  <si>
    <t xml:space="preserve">Pramod K</t>
  </si>
  <si>
    <t xml:space="preserve">CAPL_1023</t>
  </si>
  <si>
    <t xml:space="preserve">Raghavendra M R</t>
  </si>
  <si>
    <t xml:space="preserve">CAPL_1025</t>
  </si>
  <si>
    <t xml:space="preserve">Priyanka C H</t>
  </si>
  <si>
    <t xml:space="preserve">CAPL_1027</t>
  </si>
  <si>
    <t xml:space="preserve">Balakrishna R</t>
  </si>
  <si>
    <t xml:space="preserve">CAPL_1030</t>
  </si>
  <si>
    <t xml:space="preserve">Rohit Kumar Ray</t>
  </si>
  <si>
    <t xml:space="preserve">Ganesh Govintharaju</t>
  </si>
  <si>
    <t xml:space="preserve">Amit Kumar Rai</t>
  </si>
  <si>
    <t xml:space="preserve">Renuka Prasad N</t>
  </si>
  <si>
    <t xml:space="preserve">C Velu</t>
  </si>
  <si>
    <t xml:space="preserve">CAPL_1038</t>
  </si>
  <si>
    <t xml:space="preserve">Sathish B</t>
  </si>
  <si>
    <t xml:space="preserve">CAPL_1052</t>
  </si>
  <si>
    <t xml:space="preserve">Mohana K N</t>
  </si>
  <si>
    <t xml:space="preserve">CAPL_1057</t>
  </si>
  <si>
    <t xml:space="preserve">Santhosh R</t>
  </si>
  <si>
    <t xml:space="preserve">CAPL_1063</t>
  </si>
  <si>
    <t xml:space="preserve">Neelkanth Goura</t>
  </si>
  <si>
    <t xml:space="preserve">CAPL_1064</t>
  </si>
  <si>
    <t xml:space="preserve">Kumaran Venkatesan</t>
  </si>
  <si>
    <t xml:space="preserve">CAPL_1074</t>
  </si>
  <si>
    <t xml:space="preserve">Mallikarjuna MO</t>
  </si>
  <si>
    <t xml:space="preserve">CAPL_1080</t>
  </si>
  <si>
    <t xml:space="preserve">Omkeshwaraiah</t>
  </si>
  <si>
    <t xml:space="preserve">CAPL_1083</t>
  </si>
  <si>
    <t xml:space="preserve">Lokamathe K</t>
  </si>
  <si>
    <t xml:space="preserve">Ramakrishna Kodagunti</t>
  </si>
  <si>
    <t xml:space="preserve">CAPL_1087</t>
  </si>
  <si>
    <t xml:space="preserve">Vinod S</t>
  </si>
  <si>
    <t xml:space="preserve">CAPL_1088</t>
  </si>
  <si>
    <t xml:space="preserve">Harikishan Yadav</t>
  </si>
  <si>
    <t xml:space="preserve">CAPL_1098</t>
  </si>
  <si>
    <t xml:space="preserve">Sharana Basava</t>
  </si>
  <si>
    <t xml:space="preserve">CAPL_1101</t>
  </si>
  <si>
    <t xml:space="preserve">Renukaradhya</t>
  </si>
  <si>
    <t xml:space="preserve">CAPL_1108</t>
  </si>
  <si>
    <t xml:space="preserve">Chaithra H N</t>
  </si>
  <si>
    <t xml:space="preserve">CAPL_1110</t>
  </si>
  <si>
    <t xml:space="preserve">Vipin Kumar A R</t>
  </si>
  <si>
    <t xml:space="preserve">CAPL_1111</t>
  </si>
  <si>
    <t xml:space="preserve">Gopi M</t>
  </si>
  <si>
    <t xml:space="preserve">CAPL_1117</t>
  </si>
  <si>
    <t xml:space="preserve">Premkumar Singh</t>
  </si>
  <si>
    <t xml:space="preserve">CAPL_1118</t>
  </si>
  <si>
    <t xml:space="preserve">Virupaksha M K</t>
  </si>
  <si>
    <t xml:space="preserve">CAPL_1119</t>
  </si>
  <si>
    <t xml:space="preserve">Sakamma</t>
  </si>
  <si>
    <t xml:space="preserve">CAPL_1120</t>
  </si>
  <si>
    <t xml:space="preserve">Jayalakshmi</t>
  </si>
  <si>
    <t xml:space="preserve">CAPL_1121</t>
  </si>
  <si>
    <t xml:space="preserve">Santhosh S H</t>
  </si>
  <si>
    <t xml:space="preserve">CAPL_1122</t>
  </si>
  <si>
    <t xml:space="preserve">Mohana N</t>
  </si>
  <si>
    <t xml:space="preserve">CAPL_1123</t>
  </si>
  <si>
    <t xml:space="preserve">Balamurugan G</t>
  </si>
  <si>
    <t xml:space="preserve">CAPL_1124</t>
  </si>
  <si>
    <t xml:space="preserve">Gutte Sathish</t>
  </si>
  <si>
    <t xml:space="preserve">CAPL_1125</t>
  </si>
  <si>
    <t xml:space="preserve">Manjunatha M</t>
  </si>
  <si>
    <t xml:space="preserve">CAPL_1126</t>
  </si>
  <si>
    <t xml:space="preserve">Prabakaran V</t>
  </si>
  <si>
    <t xml:space="preserve">CAPL_1127</t>
  </si>
  <si>
    <t xml:space="preserve">Chetan Kumar</t>
  </si>
  <si>
    <t xml:space="preserve">CAPL_1128</t>
  </si>
  <si>
    <t xml:space="preserve">Pramod Tivary</t>
  </si>
  <si>
    <t xml:space="preserve">CAPL_1129</t>
  </si>
  <si>
    <t xml:space="preserve">Sripathy Y Huilgol</t>
  </si>
  <si>
    <t xml:space="preserve">CAPL_1130</t>
  </si>
  <si>
    <t xml:space="preserve">Harishiv Dixit</t>
  </si>
  <si>
    <t xml:space="preserve">Ravindra Kumar</t>
  </si>
  <si>
    <t xml:space="preserve">CAPL_1132</t>
  </si>
  <si>
    <t xml:space="preserve">Gnana Shekar R</t>
  </si>
  <si>
    <t xml:space="preserve">CAPL_1133</t>
  </si>
  <si>
    <t xml:space="preserve">Manjunatha C</t>
  </si>
  <si>
    <t xml:space="preserve">CAPL_1134</t>
  </si>
  <si>
    <t xml:space="preserve">Roopesh E P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</si>
</sst>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6302C"/>
        <bgColor rgb="FF00330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30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2" t="s">
        <v>4</v>
      </c>
      <c r="B5" s="2" t="n">
        <v>53</v>
      </c>
    </row>
    <row r="6" customFormat="false" ht="15" hidden="false" customHeight="false" outlineLevel="0" collapsed="false">
      <c r="A6" s="2" t="s">
        <v>5</v>
      </c>
      <c r="B6" s="2" t="n">
        <v>50</v>
      </c>
    </row>
    <row r="7" customFormat="false" ht="15" hidden="false" customHeight="false" outlineLevel="0" collapsed="false">
      <c r="A7" s="2" t="s">
        <v>6</v>
      </c>
      <c r="B7" s="2" t="n">
        <v>10</v>
      </c>
    </row>
    <row r="8" customFormat="false" ht="15" hidden="false" customHeight="false" outlineLevel="0" collapsed="false">
      <c r="A8" s="2" t="s">
        <v>7</v>
      </c>
      <c r="B8" s="2" t="n">
        <v>24</v>
      </c>
    </row>
    <row r="9" customFormat="false" ht="15" hidden="false" customHeight="false" outlineLevel="0" collapsed="false">
      <c r="A9" s="2" t="s">
        <v>8</v>
      </c>
      <c r="B9" s="2" t="n">
        <v>8</v>
      </c>
    </row>
    <row r="10" customFormat="false" ht="15" hidden="false" customHeight="false" outlineLevel="0" collapsed="false">
      <c r="A10" s="2"/>
      <c r="B10" s="2"/>
    </row>
    <row r="11" customFormat="false" ht="15" hidden="false" customHeight="false" outlineLevel="0" collapsed="false">
      <c r="A11" s="2" t="s">
        <v>9</v>
      </c>
      <c r="B11" s="2" t="n">
        <v>17</v>
      </c>
    </row>
    <row r="12" customFormat="false" ht="15" hidden="false" customHeight="false" outlineLevel="0" collapsed="false">
      <c r="A12" s="2" t="s">
        <v>10</v>
      </c>
      <c r="B12" s="2" t="n">
        <v>8</v>
      </c>
    </row>
    <row r="13" customFormat="false" ht="15" hidden="false" customHeight="false" outlineLevel="0" collapsed="false">
      <c r="A13" s="2" t="s">
        <v>11</v>
      </c>
      <c r="B13" s="2" t="n">
        <v>22</v>
      </c>
    </row>
    <row r="14" customFormat="false" ht="15" hidden="false" customHeight="false" outlineLevel="0" collapsed="false">
      <c r="A14" s="2"/>
      <c r="B14" s="2"/>
    </row>
    <row r="15" customFormat="false" ht="15" hidden="false" customHeight="false" outlineLevel="0" collapsed="false">
      <c r="A15" s="2" t="s">
        <v>12</v>
      </c>
      <c r="B15" s="2"/>
    </row>
    <row r="16" customFormat="false" ht="15" hidden="false" customHeight="false" outlineLevel="0" collapsed="false">
      <c r="A16" s="2" t="s">
        <v>13</v>
      </c>
      <c r="B16" s="2"/>
    </row>
    <row r="17" customFormat="false" ht="15" hidden="false" customHeight="false" outlineLevel="0" collapsed="false">
      <c r="A17" s="2" t="s">
        <v>14</v>
      </c>
      <c r="B17" s="2"/>
    </row>
    <row r="18" customFormat="false" ht="15" hidden="false" customHeight="false" outlineLevel="0" collapsed="false">
      <c r="A18" s="2" t="s">
        <v>15</v>
      </c>
      <c r="B18" s="2"/>
    </row>
    <row r="19" customFormat="false" ht="15" hidden="false" customHeight="false" outlineLevel="0" collapsed="false">
      <c r="A19" s="2" t="s">
        <v>16</v>
      </c>
      <c r="B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00"/>
  </cols>
  <sheetData>
    <row r="1" customFormat="false" ht="15" hidden="false" customHeight="false" outlineLevel="0" collapsed="false">
      <c r="A1" s="4" t="s">
        <v>17</v>
      </c>
      <c r="B1" s="4" t="s">
        <v>18</v>
      </c>
      <c r="C1" s="4" t="s">
        <v>2</v>
      </c>
      <c r="D1" s="4" t="s">
        <v>19</v>
      </c>
    </row>
    <row r="2" customFormat="false" ht="26.85" hidden="false" customHeight="false" outlineLevel="0" collapsed="false">
      <c r="A2" s="5" t="s">
        <v>20</v>
      </c>
      <c r="B2" s="5" t="s">
        <v>21</v>
      </c>
      <c r="C2" s="5" t="s">
        <v>22</v>
      </c>
      <c r="D2" s="5" t="s">
        <v>23</v>
      </c>
    </row>
    <row r="3" customFormat="false" ht="15" hidden="false" customHeight="false" outlineLevel="0" collapsed="false">
      <c r="A3" s="5" t="s">
        <v>20</v>
      </c>
      <c r="B3" s="5" t="s">
        <v>24</v>
      </c>
      <c r="C3" s="5" t="s">
        <v>25</v>
      </c>
      <c r="D3" s="5" t="s">
        <v>26</v>
      </c>
    </row>
    <row r="4" customFormat="false" ht="15" hidden="false" customHeight="false" outlineLevel="0" collapsed="false">
      <c r="A4" s="5" t="s">
        <v>20</v>
      </c>
      <c r="B4" s="5" t="s">
        <v>24</v>
      </c>
      <c r="C4" s="5" t="s">
        <v>27</v>
      </c>
      <c r="D4" s="5" t="s">
        <v>26</v>
      </c>
    </row>
    <row r="5" customFormat="false" ht="15" hidden="false" customHeight="false" outlineLevel="0" collapsed="false">
      <c r="A5" s="5" t="s">
        <v>20</v>
      </c>
      <c r="B5" s="5" t="s">
        <v>24</v>
      </c>
      <c r="C5" s="5" t="s">
        <v>28</v>
      </c>
      <c r="D5" s="5" t="s">
        <v>26</v>
      </c>
    </row>
    <row r="6" customFormat="false" ht="15" hidden="false" customHeight="false" outlineLevel="0" collapsed="false">
      <c r="A6" s="5" t="s">
        <v>20</v>
      </c>
      <c r="B6" s="5" t="s">
        <v>24</v>
      </c>
      <c r="C6" s="5" t="s">
        <v>29</v>
      </c>
      <c r="D6" s="5" t="s">
        <v>30</v>
      </c>
    </row>
    <row r="7" customFormat="false" ht="15" hidden="false" customHeight="false" outlineLevel="0" collapsed="false">
      <c r="A7" s="5" t="s">
        <v>20</v>
      </c>
      <c r="B7" s="5" t="s">
        <v>24</v>
      </c>
      <c r="C7" s="5" t="s">
        <v>31</v>
      </c>
      <c r="D7" s="5" t="s">
        <v>26</v>
      </c>
    </row>
    <row r="8" customFormat="false" ht="15" hidden="false" customHeight="false" outlineLevel="0" collapsed="false">
      <c r="A8" s="5" t="s">
        <v>20</v>
      </c>
      <c r="B8" s="5" t="s">
        <v>24</v>
      </c>
      <c r="C8" s="5" t="s">
        <v>32</v>
      </c>
      <c r="D8" s="5" t="s">
        <v>26</v>
      </c>
    </row>
    <row r="9" customFormat="false" ht="15" hidden="false" customHeight="false" outlineLevel="0" collapsed="false">
      <c r="A9" s="5" t="s">
        <v>20</v>
      </c>
      <c r="B9" s="5" t="s">
        <v>24</v>
      </c>
      <c r="C9" s="5" t="s">
        <v>33</v>
      </c>
      <c r="D9" s="5" t="s">
        <v>34</v>
      </c>
    </row>
    <row r="10" customFormat="false" ht="15" hidden="false" customHeight="false" outlineLevel="0" collapsed="false">
      <c r="A10" s="5" t="s">
        <v>20</v>
      </c>
      <c r="B10" s="5" t="s">
        <v>24</v>
      </c>
      <c r="C10" s="5" t="s">
        <v>35</v>
      </c>
      <c r="D10" s="5" t="s">
        <v>26</v>
      </c>
    </row>
    <row r="11" customFormat="false" ht="15" hidden="false" customHeight="false" outlineLevel="0" collapsed="false">
      <c r="A11" s="5" t="s">
        <v>20</v>
      </c>
      <c r="B11" s="5" t="s">
        <v>24</v>
      </c>
      <c r="C11" s="5" t="s">
        <v>36</v>
      </c>
      <c r="D11" s="5" t="s">
        <v>26</v>
      </c>
    </row>
    <row r="12" customFormat="false" ht="15" hidden="false" customHeight="false" outlineLevel="0" collapsed="false">
      <c r="A12" s="5" t="s">
        <v>20</v>
      </c>
      <c r="B12" s="5" t="s">
        <v>24</v>
      </c>
      <c r="C12" s="5" t="s">
        <v>37</v>
      </c>
      <c r="D12" s="5" t="s">
        <v>26</v>
      </c>
    </row>
    <row r="13" customFormat="false" ht="15" hidden="false" customHeight="false" outlineLevel="0" collapsed="false">
      <c r="A13" s="5" t="s">
        <v>20</v>
      </c>
      <c r="B13" s="5" t="s">
        <v>24</v>
      </c>
      <c r="C13" s="5" t="s">
        <v>38</v>
      </c>
      <c r="D13" s="5" t="s">
        <v>26</v>
      </c>
    </row>
    <row r="14" customFormat="false" ht="15" hidden="false" customHeight="false" outlineLevel="0" collapsed="false">
      <c r="A14" s="5" t="s">
        <v>20</v>
      </c>
      <c r="B14" s="5" t="s">
        <v>24</v>
      </c>
      <c r="C14" s="5" t="s">
        <v>39</v>
      </c>
      <c r="D14" s="5" t="s">
        <v>40</v>
      </c>
    </row>
    <row r="15" customFormat="false" ht="15" hidden="false" customHeight="false" outlineLevel="0" collapsed="false">
      <c r="A15" s="5" t="s">
        <v>20</v>
      </c>
      <c r="B15" s="5" t="s">
        <v>24</v>
      </c>
      <c r="C15" s="5" t="s">
        <v>41</v>
      </c>
      <c r="D15" s="5" t="s">
        <v>42</v>
      </c>
    </row>
    <row r="16" customFormat="false" ht="15" hidden="false" customHeight="false" outlineLevel="0" collapsed="false">
      <c r="A16" s="5" t="s">
        <v>20</v>
      </c>
      <c r="B16" s="5" t="s">
        <v>24</v>
      </c>
      <c r="C16" s="5" t="s">
        <v>43</v>
      </c>
      <c r="D16" s="5" t="s">
        <v>26</v>
      </c>
    </row>
    <row r="17" customFormat="false" ht="15" hidden="false" customHeight="false" outlineLevel="0" collapsed="false">
      <c r="A17" s="5" t="s">
        <v>20</v>
      </c>
      <c r="B17" s="5" t="s">
        <v>24</v>
      </c>
      <c r="C17" s="5" t="s">
        <v>44</v>
      </c>
      <c r="D17" s="5" t="s">
        <v>26</v>
      </c>
    </row>
    <row r="18" customFormat="false" ht="15" hidden="false" customHeight="false" outlineLevel="0" collapsed="false">
      <c r="A18" s="5" t="s">
        <v>20</v>
      </c>
      <c r="B18" s="5" t="s">
        <v>24</v>
      </c>
      <c r="C18" s="5" t="s">
        <v>45</v>
      </c>
      <c r="D18" s="5" t="s">
        <v>46</v>
      </c>
    </row>
    <row r="19" customFormat="false" ht="15" hidden="false" customHeight="false" outlineLevel="0" collapsed="false">
      <c r="A19" s="5" t="s">
        <v>47</v>
      </c>
      <c r="B19" s="5" t="s">
        <v>21</v>
      </c>
      <c r="C19" s="5" t="s">
        <v>48</v>
      </c>
      <c r="D19" s="5" t="s">
        <v>49</v>
      </c>
    </row>
    <row r="20" customFormat="false" ht="26.85" hidden="false" customHeight="false" outlineLevel="0" collapsed="false">
      <c r="A20" s="5" t="s">
        <v>47</v>
      </c>
      <c r="B20" s="5" t="s">
        <v>24</v>
      </c>
      <c r="C20" s="5" t="s">
        <v>50</v>
      </c>
      <c r="D20" s="5" t="s">
        <v>51</v>
      </c>
    </row>
    <row r="21" customFormat="false" ht="15" hidden="false" customHeight="false" outlineLevel="0" collapsed="false">
      <c r="A21" s="5" t="s">
        <v>47</v>
      </c>
      <c r="B21" s="5" t="s">
        <v>24</v>
      </c>
      <c r="C21" s="5" t="s">
        <v>38</v>
      </c>
      <c r="D21" s="5" t="s">
        <v>52</v>
      </c>
    </row>
    <row r="22" customFormat="false" ht="15" hidden="false" customHeight="false" outlineLevel="0" collapsed="false">
      <c r="A22" s="5" t="s">
        <v>47</v>
      </c>
      <c r="B22" s="5" t="s">
        <v>24</v>
      </c>
      <c r="C22" s="5" t="s">
        <v>39</v>
      </c>
      <c r="D22" s="5" t="s">
        <v>52</v>
      </c>
    </row>
    <row r="23" customFormat="false" ht="15" hidden="false" customHeight="false" outlineLevel="0" collapsed="false">
      <c r="A23" s="5" t="s">
        <v>47</v>
      </c>
      <c r="B23" s="5" t="s">
        <v>24</v>
      </c>
      <c r="C23" s="5" t="s">
        <v>41</v>
      </c>
      <c r="D23" s="5" t="s">
        <v>52</v>
      </c>
    </row>
    <row r="24" customFormat="false" ht="15" hidden="false" customHeight="false" outlineLevel="0" collapsed="false">
      <c r="A24" s="5" t="s">
        <v>47</v>
      </c>
      <c r="B24" s="5" t="s">
        <v>24</v>
      </c>
      <c r="C24" s="5" t="s">
        <v>43</v>
      </c>
      <c r="D24" s="5" t="s">
        <v>53</v>
      </c>
    </row>
    <row r="25" customFormat="false" ht="15" hidden="false" customHeight="false" outlineLevel="0" collapsed="false">
      <c r="A25" s="5" t="s">
        <v>47</v>
      </c>
      <c r="B25" s="5" t="s">
        <v>24</v>
      </c>
      <c r="C25" s="5" t="s">
        <v>54</v>
      </c>
      <c r="D25" s="5" t="s">
        <v>55</v>
      </c>
    </row>
    <row r="26" customFormat="false" ht="15" hidden="false" customHeight="false" outlineLevel="0" collapsed="false">
      <c r="A26" s="5" t="s">
        <v>47</v>
      </c>
      <c r="B26" s="5" t="s">
        <v>24</v>
      </c>
      <c r="C26" s="5" t="s">
        <v>44</v>
      </c>
      <c r="D26" s="5" t="s">
        <v>56</v>
      </c>
    </row>
    <row r="27" customFormat="false" ht="15" hidden="false" customHeight="false" outlineLevel="0" collapsed="false">
      <c r="A27" s="5" t="s">
        <v>57</v>
      </c>
      <c r="B27" s="5" t="s">
        <v>21</v>
      </c>
      <c r="C27" s="5" t="s">
        <v>58</v>
      </c>
      <c r="D27" s="5" t="s">
        <v>59</v>
      </c>
    </row>
    <row r="28" customFormat="false" ht="15" hidden="false" customHeight="false" outlineLevel="0" collapsed="false">
      <c r="A28" s="5" t="s">
        <v>57</v>
      </c>
      <c r="B28" s="5" t="s">
        <v>21</v>
      </c>
      <c r="C28" s="5" t="s">
        <v>60</v>
      </c>
      <c r="D28" s="5" t="s">
        <v>61</v>
      </c>
    </row>
    <row r="29" customFormat="false" ht="15" hidden="false" customHeight="false" outlineLevel="0" collapsed="false">
      <c r="A29" s="5" t="s">
        <v>57</v>
      </c>
      <c r="B29" s="5" t="s">
        <v>21</v>
      </c>
      <c r="C29" s="5" t="s">
        <v>62</v>
      </c>
      <c r="D29" s="5" t="s">
        <v>61</v>
      </c>
    </row>
    <row r="30" customFormat="false" ht="15" hidden="false" customHeight="false" outlineLevel="0" collapsed="false">
      <c r="A30" s="5" t="s">
        <v>57</v>
      </c>
      <c r="B30" s="5" t="s">
        <v>21</v>
      </c>
      <c r="C30" s="5" t="s">
        <v>63</v>
      </c>
      <c r="D30" s="5" t="s">
        <v>61</v>
      </c>
    </row>
    <row r="31" customFormat="false" ht="15" hidden="false" customHeight="false" outlineLevel="0" collapsed="false">
      <c r="A31" s="5" t="s">
        <v>57</v>
      </c>
      <c r="B31" s="5" t="s">
        <v>21</v>
      </c>
      <c r="C31" s="5" t="s">
        <v>64</v>
      </c>
      <c r="D31" s="5" t="s">
        <v>61</v>
      </c>
    </row>
    <row r="32" customFormat="false" ht="26.85" hidden="false" customHeight="false" outlineLevel="0" collapsed="false">
      <c r="A32" s="5" t="s">
        <v>57</v>
      </c>
      <c r="B32" s="5" t="s">
        <v>21</v>
      </c>
      <c r="C32" s="5" t="s">
        <v>65</v>
      </c>
      <c r="D32" s="5" t="s">
        <v>66</v>
      </c>
    </row>
    <row r="33" customFormat="false" ht="39.55" hidden="false" customHeight="false" outlineLevel="0" collapsed="false">
      <c r="A33" s="5" t="s">
        <v>57</v>
      </c>
      <c r="B33" s="5" t="s">
        <v>24</v>
      </c>
      <c r="C33" s="5" t="s">
        <v>67</v>
      </c>
      <c r="D33" s="5" t="s">
        <v>68</v>
      </c>
    </row>
    <row r="34" customFormat="false" ht="26.85" hidden="false" customHeight="false" outlineLevel="0" collapsed="false">
      <c r="A34" s="5" t="s">
        <v>57</v>
      </c>
      <c r="B34" s="5" t="s">
        <v>24</v>
      </c>
      <c r="C34" s="5" t="s">
        <v>69</v>
      </c>
      <c r="D34" s="5" t="s">
        <v>68</v>
      </c>
    </row>
    <row r="35" customFormat="false" ht="39.55" hidden="false" customHeight="false" outlineLevel="0" collapsed="false">
      <c r="A35" s="5" t="s">
        <v>57</v>
      </c>
      <c r="B35" s="5" t="s">
        <v>24</v>
      </c>
      <c r="C35" s="5" t="s">
        <v>70</v>
      </c>
      <c r="D35" s="5" t="s">
        <v>68</v>
      </c>
    </row>
    <row r="36" customFormat="false" ht="15" hidden="false" customHeight="false" outlineLevel="0" collapsed="false">
      <c r="A36" s="5" t="s">
        <v>57</v>
      </c>
      <c r="B36" s="5" t="s">
        <v>24</v>
      </c>
      <c r="C36" s="5" t="s">
        <v>71</v>
      </c>
      <c r="D36" s="5" t="s">
        <v>72</v>
      </c>
    </row>
    <row r="37" customFormat="false" ht="26.85" hidden="false" customHeight="false" outlineLevel="0" collapsed="false">
      <c r="A37" s="5" t="s">
        <v>57</v>
      </c>
      <c r="B37" s="5" t="s">
        <v>24</v>
      </c>
      <c r="C37" s="5" t="s">
        <v>73</v>
      </c>
      <c r="D37" s="5" t="s">
        <v>68</v>
      </c>
    </row>
    <row r="38" customFormat="false" ht="39.55" hidden="false" customHeight="false" outlineLevel="0" collapsed="false">
      <c r="A38" s="5" t="s">
        <v>57</v>
      </c>
      <c r="B38" s="5" t="s">
        <v>24</v>
      </c>
      <c r="C38" s="5" t="s">
        <v>74</v>
      </c>
      <c r="D38" s="5" t="s">
        <v>68</v>
      </c>
    </row>
    <row r="39" customFormat="false" ht="26.85" hidden="false" customHeight="false" outlineLevel="0" collapsed="false">
      <c r="A39" s="5" t="s">
        <v>57</v>
      </c>
      <c r="B39" s="5" t="s">
        <v>24</v>
      </c>
      <c r="C39" s="5" t="s">
        <v>75</v>
      </c>
      <c r="D39" s="5" t="s">
        <v>68</v>
      </c>
    </row>
    <row r="40" customFormat="false" ht="26.85" hidden="false" customHeight="false" outlineLevel="0" collapsed="false">
      <c r="A40" s="5" t="s">
        <v>57</v>
      </c>
      <c r="B40" s="5" t="s">
        <v>24</v>
      </c>
      <c r="C40" s="5" t="s">
        <v>76</v>
      </c>
      <c r="D40" s="5" t="s">
        <v>68</v>
      </c>
    </row>
    <row r="41" customFormat="false" ht="15" hidden="false" customHeight="false" outlineLevel="0" collapsed="false">
      <c r="A41" s="5" t="s">
        <v>57</v>
      </c>
      <c r="B41" s="5" t="s">
        <v>24</v>
      </c>
      <c r="C41" s="5" t="s">
        <v>77</v>
      </c>
      <c r="D41" s="5" t="s">
        <v>78</v>
      </c>
    </row>
    <row r="42" customFormat="false" ht="15" hidden="false" customHeight="false" outlineLevel="0" collapsed="false">
      <c r="A42" s="5" t="s">
        <v>57</v>
      </c>
      <c r="B42" s="5" t="s">
        <v>24</v>
      </c>
      <c r="C42" s="5" t="s">
        <v>79</v>
      </c>
      <c r="D42" s="5" t="s">
        <v>80</v>
      </c>
    </row>
    <row r="43" customFormat="false" ht="15" hidden="false" customHeight="false" outlineLevel="0" collapsed="false">
      <c r="A43" s="5" t="s">
        <v>57</v>
      </c>
      <c r="B43" s="5" t="s">
        <v>24</v>
      </c>
      <c r="C43" s="5" t="s">
        <v>81</v>
      </c>
      <c r="D43" s="5" t="s">
        <v>82</v>
      </c>
    </row>
    <row r="44" customFormat="false" ht="15" hidden="false" customHeight="false" outlineLevel="0" collapsed="false">
      <c r="A44" s="5" t="s">
        <v>57</v>
      </c>
      <c r="B44" s="5" t="s">
        <v>24</v>
      </c>
      <c r="C44" s="5" t="s">
        <v>83</v>
      </c>
      <c r="D44" s="5" t="s">
        <v>84</v>
      </c>
    </row>
    <row r="45" customFormat="false" ht="15" hidden="false" customHeight="false" outlineLevel="0" collapsed="false">
      <c r="A45" s="5" t="s">
        <v>57</v>
      </c>
      <c r="B45" s="5" t="s">
        <v>24</v>
      </c>
      <c r="C45" s="5" t="s">
        <v>54</v>
      </c>
      <c r="D45" s="5" t="s">
        <v>85</v>
      </c>
    </row>
    <row r="46" customFormat="false" ht="15" hidden="false" customHeight="false" outlineLevel="0" collapsed="false">
      <c r="A46" s="5" t="s">
        <v>57</v>
      </c>
      <c r="B46" s="5" t="s">
        <v>24</v>
      </c>
      <c r="C46" s="5" t="s">
        <v>86</v>
      </c>
      <c r="D46" s="5" t="s">
        <v>87</v>
      </c>
    </row>
    <row r="47" customFormat="false" ht="26.85" hidden="false" customHeight="false" outlineLevel="0" collapsed="false">
      <c r="A47" s="5" t="s">
        <v>57</v>
      </c>
      <c r="B47" s="5" t="s">
        <v>24</v>
      </c>
      <c r="C47" s="5" t="s">
        <v>35</v>
      </c>
      <c r="D47" s="5" t="s">
        <v>88</v>
      </c>
    </row>
    <row r="48" customFormat="false" ht="26.85" hidden="false" customHeight="false" outlineLevel="0" collapsed="false">
      <c r="A48" s="5" t="s">
        <v>57</v>
      </c>
      <c r="B48" s="5" t="s">
        <v>24</v>
      </c>
      <c r="C48" s="5" t="s">
        <v>36</v>
      </c>
      <c r="D48" s="5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30"/>
    <col collapsed="false" customWidth="true" hidden="false" outlineLevel="0" max="7" min="7" style="0" width="18"/>
    <col collapsed="false" customWidth="true" hidden="false" outlineLevel="0" max="8" min="8" style="0" width="24"/>
  </cols>
  <sheetData>
    <row r="1" customFormat="false" ht="26.85" hidden="false" customHeight="false" outlineLevel="0" collapsed="false">
      <c r="A1" s="4" t="s">
        <v>90</v>
      </c>
      <c r="B1" s="4" t="s">
        <v>91</v>
      </c>
      <c r="C1" s="4" t="s">
        <v>92</v>
      </c>
      <c r="D1" s="4" t="s">
        <v>93</v>
      </c>
      <c r="E1" s="4" t="s">
        <v>94</v>
      </c>
      <c r="F1" s="4" t="s">
        <v>95</v>
      </c>
      <c r="G1" s="4" t="s">
        <v>96</v>
      </c>
      <c r="H1" s="4" t="s">
        <v>97</v>
      </c>
    </row>
    <row r="2" customFormat="false" ht="15" hidden="false" customHeight="false" outlineLevel="0" collapsed="false">
      <c r="A2" s="5" t="s">
        <v>98</v>
      </c>
      <c r="B2" s="5" t="s">
        <v>99</v>
      </c>
      <c r="C2" s="5"/>
      <c r="D2" s="5" t="s">
        <v>100</v>
      </c>
      <c r="E2" s="5" t="s">
        <v>101</v>
      </c>
      <c r="F2" s="5" t="s">
        <v>101</v>
      </c>
      <c r="G2" s="6"/>
      <c r="H2" s="5" t="str">
        <f aca="false">IF(G2="","",IFERROR(INDEX('Employee master'!$B$2:$B$54,MATCH(G2,'Employee master'!$A$2:$A$54,0)),"Code not in master"))</f>
        <v/>
      </c>
    </row>
    <row r="3" customFormat="false" ht="15" hidden="false" customHeight="false" outlineLevel="0" collapsed="false">
      <c r="A3" s="5" t="s">
        <v>98</v>
      </c>
      <c r="B3" s="5" t="s">
        <v>102</v>
      </c>
      <c r="C3" s="5"/>
      <c r="D3" s="5" t="s">
        <v>103</v>
      </c>
      <c r="E3" s="5"/>
      <c r="F3" s="5"/>
      <c r="G3" s="6"/>
      <c r="H3" s="5" t="str">
        <f aca="false">IF(G3="","",IFERROR(INDEX('Employee master'!$B$2:$B$54,MATCH(G3,'Employee master'!$A$2:$A$54,0)),"Code not in master"))</f>
        <v/>
      </c>
    </row>
    <row r="4" customFormat="false" ht="15" hidden="false" customHeight="false" outlineLevel="0" collapsed="false">
      <c r="A4" s="5" t="s">
        <v>98</v>
      </c>
      <c r="B4" s="5" t="s">
        <v>104</v>
      </c>
      <c r="C4" s="5"/>
      <c r="D4" s="5" t="s">
        <v>103</v>
      </c>
      <c r="E4" s="5"/>
      <c r="F4" s="5"/>
      <c r="G4" s="6"/>
      <c r="H4" s="5" t="str">
        <f aca="false">IF(G4="","",IFERROR(INDEX('Employee master'!$B$2:$B$54,MATCH(G4,'Employee master'!$A$2:$A$54,0)),"Code not in master"))</f>
        <v/>
      </c>
    </row>
    <row r="5" customFormat="false" ht="15" hidden="false" customHeight="false" outlineLevel="0" collapsed="false">
      <c r="A5" s="5" t="s">
        <v>105</v>
      </c>
      <c r="B5" s="5" t="s">
        <v>106</v>
      </c>
      <c r="C5" s="5"/>
      <c r="D5" s="5" t="s">
        <v>107</v>
      </c>
      <c r="E5" s="5" t="s">
        <v>108</v>
      </c>
      <c r="F5" s="5" t="s">
        <v>108</v>
      </c>
      <c r="G5" s="6"/>
      <c r="H5" s="5" t="str">
        <f aca="false">IF(G5="","",IFERROR(INDEX('Employee master'!$B$2:$B$54,MATCH(G5,'Employee master'!$A$2:$A$54,0)),"Code not in master"))</f>
        <v/>
      </c>
    </row>
    <row r="6" customFormat="false" ht="15" hidden="false" customHeight="false" outlineLevel="0" collapsed="false">
      <c r="A6" s="5" t="s">
        <v>105</v>
      </c>
      <c r="B6" s="5" t="s">
        <v>109</v>
      </c>
      <c r="C6" s="5"/>
      <c r="D6" s="5" t="s">
        <v>107</v>
      </c>
      <c r="E6" s="5" t="s">
        <v>110</v>
      </c>
      <c r="F6" s="5" t="s">
        <v>110</v>
      </c>
      <c r="G6" s="6"/>
      <c r="H6" s="5" t="str">
        <f aca="false">IF(G6="","",IFERROR(INDEX('Employee master'!$B$2:$B$54,MATCH(G6,'Employee master'!$A$2:$A$54,0)),"Code not in master"))</f>
        <v/>
      </c>
    </row>
    <row r="7" customFormat="false" ht="15" hidden="false" customHeight="false" outlineLevel="0" collapsed="false">
      <c r="A7" s="5" t="s">
        <v>105</v>
      </c>
      <c r="B7" s="5" t="s">
        <v>111</v>
      </c>
      <c r="C7" s="5"/>
      <c r="D7" s="5" t="s">
        <v>103</v>
      </c>
      <c r="E7" s="5"/>
      <c r="F7" s="5"/>
      <c r="G7" s="6"/>
      <c r="H7" s="5" t="str">
        <f aca="false">IF(G7="","",IFERROR(INDEX('Employee master'!$B$2:$B$54,MATCH(G7,'Employee master'!$A$2:$A$54,0)),"Code not in master"))</f>
        <v/>
      </c>
    </row>
    <row r="8" customFormat="false" ht="15" hidden="false" customHeight="false" outlineLevel="0" collapsed="false">
      <c r="A8" s="5" t="s">
        <v>105</v>
      </c>
      <c r="B8" s="5" t="s">
        <v>112</v>
      </c>
      <c r="C8" s="5"/>
      <c r="D8" s="5" t="s">
        <v>113</v>
      </c>
      <c r="E8" s="5"/>
      <c r="F8" s="5" t="s">
        <v>114</v>
      </c>
      <c r="G8" s="6"/>
      <c r="H8" s="5" t="str">
        <f aca="false">IF(G8="","",IFERROR(INDEX('Employee master'!$B$2:$B$54,MATCH(G8,'Employee master'!$A$2:$A$54,0)),"Code not in master"))</f>
        <v/>
      </c>
    </row>
    <row r="9" customFormat="false" ht="15" hidden="false" customHeight="false" outlineLevel="0" collapsed="false">
      <c r="A9" s="5" t="s">
        <v>115</v>
      </c>
      <c r="B9" s="5" t="s">
        <v>116</v>
      </c>
      <c r="C9" s="5"/>
      <c r="D9" s="5" t="s">
        <v>103</v>
      </c>
      <c r="E9" s="5"/>
      <c r="F9" s="5"/>
      <c r="G9" s="6"/>
      <c r="H9" s="5" t="str">
        <f aca="false">IF(G9="","",IFERROR(INDEX('Employee master'!$B$2:$B$54,MATCH(G9,'Employee master'!$A$2:$A$54,0)),"Code not in master"))</f>
        <v/>
      </c>
    </row>
    <row r="10" customFormat="false" ht="15" hidden="false" customHeight="false" outlineLevel="0" collapsed="false">
      <c r="A10" s="5" t="s">
        <v>115</v>
      </c>
      <c r="B10" s="5" t="s">
        <v>117</v>
      </c>
      <c r="C10" s="5"/>
      <c r="D10" s="5" t="s">
        <v>103</v>
      </c>
      <c r="E10" s="5"/>
      <c r="F10" s="5"/>
      <c r="G10" s="6"/>
      <c r="H10" s="5" t="str">
        <f aca="false">IF(G10="","",IFERROR(INDEX('Employee master'!$B$2:$B$54,MATCH(G10,'Employee master'!$A$2:$A$54,0)),"Code not in master"))</f>
        <v/>
      </c>
    </row>
    <row r="11" customFormat="false" ht="15" hidden="false" customHeight="false" outlineLevel="0" collapsed="false">
      <c r="A11" s="5" t="s">
        <v>118</v>
      </c>
      <c r="B11" s="5" t="s">
        <v>119</v>
      </c>
      <c r="C11" s="5"/>
      <c r="D11" s="5" t="s">
        <v>113</v>
      </c>
      <c r="E11" s="5"/>
      <c r="F11" s="5" t="s">
        <v>120</v>
      </c>
      <c r="G11" s="6"/>
      <c r="H11" s="5" t="str">
        <f aca="false">IF(G11="","",IFERROR(INDEX('Employee master'!$B$2:$B$54,MATCH(G11,'Employee master'!$A$2:$A$54,0)),"Code not in master"))</f>
        <v/>
      </c>
    </row>
    <row r="12" customFormat="false" ht="15" hidden="false" customHeight="false" outlineLevel="0" collapsed="false">
      <c r="A12" s="5" t="s">
        <v>118</v>
      </c>
      <c r="B12" s="5" t="s">
        <v>121</v>
      </c>
      <c r="C12" s="5"/>
      <c r="D12" s="5" t="s">
        <v>103</v>
      </c>
      <c r="E12" s="5"/>
      <c r="F12" s="5"/>
      <c r="G12" s="6"/>
      <c r="H12" s="5" t="str">
        <f aca="false">IF(G12="","",IFERROR(INDEX('Employee master'!$B$2:$B$54,MATCH(G12,'Employee master'!$A$2:$A$54,0)),"Code not in master"))</f>
        <v/>
      </c>
    </row>
    <row r="13" customFormat="false" ht="15" hidden="false" customHeight="false" outlineLevel="0" collapsed="false">
      <c r="A13" s="5" t="s">
        <v>122</v>
      </c>
      <c r="B13" s="5" t="s">
        <v>123</v>
      </c>
      <c r="C13" s="5"/>
      <c r="D13" s="5" t="s">
        <v>107</v>
      </c>
      <c r="E13" s="5" t="s">
        <v>124</v>
      </c>
      <c r="F13" s="5" t="s">
        <v>124</v>
      </c>
      <c r="G13" s="6"/>
      <c r="H13" s="5" t="str">
        <f aca="false">IF(G13="","",IFERROR(INDEX('Employee master'!$B$2:$B$54,MATCH(G13,'Employee master'!$A$2:$A$54,0)),"Code not in master"))</f>
        <v/>
      </c>
    </row>
    <row r="14" customFormat="false" ht="15" hidden="false" customHeight="false" outlineLevel="0" collapsed="false">
      <c r="A14" s="5" t="s">
        <v>122</v>
      </c>
      <c r="B14" s="5" t="s">
        <v>125</v>
      </c>
      <c r="C14" s="5"/>
      <c r="D14" s="5" t="s">
        <v>107</v>
      </c>
      <c r="E14" s="5" t="s">
        <v>126</v>
      </c>
      <c r="F14" s="5" t="s">
        <v>126</v>
      </c>
      <c r="G14" s="6"/>
      <c r="H14" s="5" t="str">
        <f aca="false">IF(G14="","",IFERROR(INDEX('Employee master'!$B$2:$B$54,MATCH(G14,'Employee master'!$A$2:$A$54,0)),"Code not in master"))</f>
        <v/>
      </c>
    </row>
    <row r="15" customFormat="false" ht="15" hidden="false" customHeight="false" outlineLevel="0" collapsed="false">
      <c r="A15" s="5" t="s">
        <v>122</v>
      </c>
      <c r="B15" s="5" t="s">
        <v>127</v>
      </c>
      <c r="C15" s="5"/>
      <c r="D15" s="5" t="s">
        <v>100</v>
      </c>
      <c r="E15" s="5" t="s">
        <v>128</v>
      </c>
      <c r="F15" s="5" t="s">
        <v>128</v>
      </c>
      <c r="G15" s="6"/>
      <c r="H15" s="5" t="str">
        <f aca="false">IF(G15="","",IFERROR(INDEX('Employee master'!$B$2:$B$54,MATCH(G15,'Employee master'!$A$2:$A$54,0)),"Code not in master"))</f>
        <v/>
      </c>
    </row>
    <row r="16" customFormat="false" ht="15" hidden="false" customHeight="false" outlineLevel="0" collapsed="false">
      <c r="A16" s="5" t="s">
        <v>122</v>
      </c>
      <c r="B16" s="5" t="s">
        <v>129</v>
      </c>
      <c r="C16" s="5"/>
      <c r="D16" s="5" t="s">
        <v>103</v>
      </c>
      <c r="E16" s="5"/>
      <c r="F16" s="5"/>
      <c r="G16" s="6"/>
      <c r="H16" s="5" t="str">
        <f aca="false">IF(G16="","",IFERROR(INDEX('Employee master'!$B$2:$B$54,MATCH(G16,'Employee master'!$A$2:$A$54,0)),"Code not in master"))</f>
        <v/>
      </c>
    </row>
    <row r="17" customFormat="false" ht="15" hidden="false" customHeight="false" outlineLevel="0" collapsed="false">
      <c r="A17" s="5" t="s">
        <v>130</v>
      </c>
      <c r="B17" s="5" t="s">
        <v>131</v>
      </c>
      <c r="C17" s="5"/>
      <c r="D17" s="5" t="s">
        <v>103</v>
      </c>
      <c r="E17" s="5"/>
      <c r="F17" s="5"/>
      <c r="G17" s="6"/>
      <c r="H17" s="5" t="str">
        <f aca="false">IF(G17="","",IFERROR(INDEX('Employee master'!$B$2:$B$54,MATCH(G17,'Employee master'!$A$2:$A$54,0)),"Code not in master"))</f>
        <v/>
      </c>
    </row>
    <row r="18" customFormat="false" ht="15" hidden="false" customHeight="false" outlineLevel="0" collapsed="false">
      <c r="A18" s="5" t="s">
        <v>132</v>
      </c>
      <c r="B18" s="5" t="s">
        <v>133</v>
      </c>
      <c r="C18" s="5"/>
      <c r="D18" s="5" t="s">
        <v>103</v>
      </c>
      <c r="E18" s="5"/>
      <c r="F18" s="5"/>
      <c r="G18" s="6"/>
      <c r="H18" s="5" t="str">
        <f aca="false">IF(G18="","",IFERROR(INDEX('Employee master'!$B$2:$B$54,MATCH(G18,'Employee master'!$A$2:$A$54,0)),"Code not in master"))</f>
        <v/>
      </c>
    </row>
    <row r="19" customFormat="false" ht="15" hidden="false" customHeight="false" outlineLevel="0" collapsed="false">
      <c r="A19" s="5" t="s">
        <v>132</v>
      </c>
      <c r="B19" s="5" t="s">
        <v>134</v>
      </c>
      <c r="C19" s="5" t="s">
        <v>135</v>
      </c>
      <c r="D19" s="5" t="s">
        <v>103</v>
      </c>
      <c r="E19" s="5"/>
      <c r="F19" s="5"/>
      <c r="G19" s="6"/>
      <c r="H19" s="5" t="str">
        <f aca="false">IF(G19="","",IFERROR(INDEX('Employee master'!$B$2:$B$54,MATCH(G19,'Employee master'!$A$2:$A$54,0)),"Code not in master"))</f>
        <v/>
      </c>
    </row>
    <row r="20" customFormat="false" ht="15" hidden="false" customHeight="false" outlineLevel="0" collapsed="false">
      <c r="A20" s="5" t="s">
        <v>132</v>
      </c>
      <c r="B20" s="5" t="s">
        <v>136</v>
      </c>
      <c r="C20" s="5" t="s">
        <v>137</v>
      </c>
      <c r="D20" s="5" t="s">
        <v>103</v>
      </c>
      <c r="E20" s="5"/>
      <c r="F20" s="5"/>
      <c r="G20" s="6"/>
      <c r="H20" s="5" t="str">
        <f aca="false">IF(G20="","",IFERROR(INDEX('Employee master'!$B$2:$B$54,MATCH(G20,'Employee master'!$A$2:$A$54,0)),"Code not in master"))</f>
        <v/>
      </c>
    </row>
    <row r="21" customFormat="false" ht="15" hidden="false" customHeight="false" outlineLevel="0" collapsed="false">
      <c r="A21" s="5" t="s">
        <v>138</v>
      </c>
      <c r="B21" s="5" t="s">
        <v>139</v>
      </c>
      <c r="C21" s="5"/>
      <c r="D21" s="5" t="s">
        <v>103</v>
      </c>
      <c r="E21" s="5"/>
      <c r="F21" s="5"/>
      <c r="G21" s="6"/>
      <c r="H21" s="5" t="str">
        <f aca="false">IF(G21="","",IFERROR(INDEX('Employee master'!$B$2:$B$54,MATCH(G21,'Employee master'!$A$2:$A$54,0)),"Code not in master"))</f>
        <v/>
      </c>
    </row>
    <row r="22" customFormat="false" ht="15" hidden="false" customHeight="false" outlineLevel="0" collapsed="false">
      <c r="A22" s="5" t="s">
        <v>138</v>
      </c>
      <c r="B22" s="5" t="s">
        <v>140</v>
      </c>
      <c r="C22" s="5"/>
      <c r="D22" s="5" t="s">
        <v>107</v>
      </c>
      <c r="E22" s="5" t="s">
        <v>141</v>
      </c>
      <c r="F22" s="5" t="s">
        <v>141</v>
      </c>
      <c r="G22" s="6"/>
      <c r="H22" s="5" t="str">
        <f aca="false">IF(G22="","",IFERROR(INDEX('Employee master'!$B$2:$B$54,MATCH(G22,'Employee master'!$A$2:$A$54,0)),"Code not in master"))</f>
        <v/>
      </c>
    </row>
    <row r="23" customFormat="false" ht="15" hidden="false" customHeight="false" outlineLevel="0" collapsed="false">
      <c r="A23" s="5" t="s">
        <v>138</v>
      </c>
      <c r="B23" s="5" t="s">
        <v>142</v>
      </c>
      <c r="C23" s="5"/>
      <c r="D23" s="5" t="s">
        <v>103</v>
      </c>
      <c r="E23" s="5"/>
      <c r="F23" s="5"/>
      <c r="G23" s="6"/>
      <c r="H23" s="5" t="str">
        <f aca="false">IF(G23="","",IFERROR(INDEX('Employee master'!$B$2:$B$54,MATCH(G23,'Employee master'!$A$2:$A$54,0)),"Code not in master"))</f>
        <v/>
      </c>
    </row>
    <row r="24" customFormat="false" ht="15" hidden="false" customHeight="false" outlineLevel="0" collapsed="false">
      <c r="A24" s="5" t="s">
        <v>143</v>
      </c>
      <c r="B24" s="5" t="s">
        <v>144</v>
      </c>
      <c r="C24" s="5"/>
      <c r="D24" s="5" t="s">
        <v>113</v>
      </c>
      <c r="E24" s="5"/>
      <c r="F24" s="5" t="s">
        <v>145</v>
      </c>
      <c r="G24" s="6"/>
      <c r="H24" s="5" t="str">
        <f aca="false">IF(G24="","",IFERROR(INDEX('Employee master'!$B$2:$B$54,MATCH(G24,'Employee master'!$A$2:$A$54,0)),"Code not in master"))</f>
        <v/>
      </c>
    </row>
    <row r="25" customFormat="false" ht="15" hidden="false" customHeight="false" outlineLevel="0" collapsed="false">
      <c r="A25" s="5" t="s">
        <v>143</v>
      </c>
      <c r="B25" s="5" t="s">
        <v>146</v>
      </c>
      <c r="C25" s="5"/>
      <c r="D25" s="5" t="s">
        <v>107</v>
      </c>
      <c r="E25" s="5" t="s">
        <v>147</v>
      </c>
      <c r="F25" s="5" t="s">
        <v>147</v>
      </c>
      <c r="G25" s="6"/>
      <c r="H25" s="5" t="str">
        <f aca="false">IF(G25="","",IFERROR(INDEX('Employee master'!$B$2:$B$54,MATCH(G25,'Employee master'!$A$2:$A$54,0)),"Code not in master"))</f>
        <v/>
      </c>
    </row>
  </sheetData>
  <dataValidations count="1">
    <dataValidation allowBlank="true" errorStyle="stop" operator="between" showDropDown="false" showErrorMessage="false" showInputMessage="false" sqref="G2:G25" type="list">
      <formula1>'Employee master'!$A$2:$A$54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20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26.85" hidden="false" customHeight="false" outlineLevel="0" collapsed="false">
      <c r="A1" s="4" t="s">
        <v>48</v>
      </c>
      <c r="B1" s="4" t="s">
        <v>148</v>
      </c>
      <c r="C1" s="4" t="s">
        <v>149</v>
      </c>
      <c r="D1" s="4" t="s">
        <v>150</v>
      </c>
      <c r="E1" s="4" t="s">
        <v>151</v>
      </c>
      <c r="F1" s="4" t="s">
        <v>152</v>
      </c>
      <c r="G1" s="7" t="s">
        <v>153</v>
      </c>
    </row>
    <row r="2" customFormat="false" ht="15" hidden="false" customHeight="false" outlineLevel="0" collapsed="false">
      <c r="A2" s="5" t="n">
        <v>1</v>
      </c>
      <c r="B2" s="5" t="s">
        <v>154</v>
      </c>
      <c r="C2" s="5"/>
      <c r="D2" s="5" t="n">
        <v>26</v>
      </c>
      <c r="E2" s="6"/>
      <c r="F2" s="5" t="str">
        <f aca="false">IF(E2="","",IFERROR(INDEX('Employee master'!$B$2:$B$54,MATCH(E2,'Employee master'!$A$2:$A$54,0)),"Code not in master"))</f>
        <v/>
      </c>
      <c r="G2" s="0" t="str">
        <f aca="false">IF(E2="","",IF(COUNTIF($E$2:$E$51,E2)&gt;1,"Duplicate code",""))</f>
        <v/>
      </c>
    </row>
    <row r="3" customFormat="false" ht="15" hidden="false" customHeight="false" outlineLevel="0" collapsed="false">
      <c r="A3" s="5" t="n">
        <v>2</v>
      </c>
      <c r="B3" s="5" t="s">
        <v>154</v>
      </c>
      <c r="C3" s="5"/>
      <c r="D3" s="5" t="n">
        <v>26</v>
      </c>
      <c r="E3" s="6"/>
      <c r="F3" s="5" t="str">
        <f aca="false">IF(E3="","",IFERROR(INDEX('Employee master'!$B$2:$B$54,MATCH(E3,'Employee master'!$A$2:$A$54,0)),"Code not in master"))</f>
        <v/>
      </c>
      <c r="G3" s="0" t="str">
        <f aca="false">IF(E3="","",IF(COUNTIF($E$2:$E$51,E3)&gt;1,"Duplicate code",""))</f>
        <v/>
      </c>
    </row>
    <row r="4" customFormat="false" ht="15" hidden="false" customHeight="false" outlineLevel="0" collapsed="false">
      <c r="A4" s="5" t="n">
        <v>3</v>
      </c>
      <c r="B4" s="5" t="s">
        <v>154</v>
      </c>
      <c r="C4" s="5"/>
      <c r="D4" s="5" t="n">
        <v>26</v>
      </c>
      <c r="E4" s="6"/>
      <c r="F4" s="5" t="str">
        <f aca="false">IF(E4="","",IFERROR(INDEX('Employee master'!$B$2:$B$54,MATCH(E4,'Employee master'!$A$2:$A$54,0)),"Code not in master"))</f>
        <v/>
      </c>
      <c r="G4" s="0" t="str">
        <f aca="false">IF(E4="","",IF(COUNTIF($E$2:$E$51,E4)&gt;1,"Duplicate code",""))</f>
        <v/>
      </c>
    </row>
    <row r="5" customFormat="false" ht="15" hidden="false" customHeight="false" outlineLevel="0" collapsed="false">
      <c r="A5" s="5" t="n">
        <v>4</v>
      </c>
      <c r="B5" s="5" t="s">
        <v>154</v>
      </c>
      <c r="C5" s="5"/>
      <c r="D5" s="5" t="n">
        <v>26</v>
      </c>
      <c r="E5" s="6"/>
      <c r="F5" s="5" t="str">
        <f aca="false">IF(E5="","",IFERROR(INDEX('Employee master'!$B$2:$B$54,MATCH(E5,'Employee master'!$A$2:$A$54,0)),"Code not in master"))</f>
        <v/>
      </c>
      <c r="G5" s="0" t="str">
        <f aca="false">IF(E5="","",IF(COUNTIF($E$2:$E$51,E5)&gt;1,"Duplicate code",""))</f>
        <v/>
      </c>
    </row>
    <row r="6" customFormat="false" ht="15" hidden="false" customHeight="false" outlineLevel="0" collapsed="false">
      <c r="A6" s="5" t="n">
        <v>5</v>
      </c>
      <c r="B6" s="5" t="s">
        <v>154</v>
      </c>
      <c r="C6" s="5"/>
      <c r="D6" s="5" t="n">
        <v>26</v>
      </c>
      <c r="E6" s="6"/>
      <c r="F6" s="5" t="str">
        <f aca="false">IF(E6="","",IFERROR(INDEX('Employee master'!$B$2:$B$54,MATCH(E6,'Employee master'!$A$2:$A$54,0)),"Code not in master"))</f>
        <v/>
      </c>
      <c r="G6" s="0" t="str">
        <f aca="false">IF(E6="","",IF(COUNTIF($E$2:$E$51,E6)&gt;1,"Duplicate code",""))</f>
        <v/>
      </c>
    </row>
    <row r="7" customFormat="false" ht="15" hidden="false" customHeight="false" outlineLevel="0" collapsed="false">
      <c r="A7" s="5" t="n">
        <v>6</v>
      </c>
      <c r="B7" s="5" t="s">
        <v>154</v>
      </c>
      <c r="C7" s="5"/>
      <c r="D7" s="5" t="n">
        <v>26</v>
      </c>
      <c r="E7" s="6"/>
      <c r="F7" s="5" t="str">
        <f aca="false">IF(E7="","",IFERROR(INDEX('Employee master'!$B$2:$B$54,MATCH(E7,'Employee master'!$A$2:$A$54,0)),"Code not in master"))</f>
        <v/>
      </c>
      <c r="G7" s="0" t="str">
        <f aca="false">IF(E7="","",IF(COUNTIF($E$2:$E$51,E7)&gt;1,"Duplicate code",""))</f>
        <v/>
      </c>
    </row>
    <row r="8" customFormat="false" ht="15" hidden="false" customHeight="false" outlineLevel="0" collapsed="false">
      <c r="A8" s="5" t="n">
        <v>7</v>
      </c>
      <c r="B8" s="5" t="s">
        <v>154</v>
      </c>
      <c r="C8" s="5"/>
      <c r="D8" s="5" t="n">
        <v>25</v>
      </c>
      <c r="E8" s="6"/>
      <c r="F8" s="5" t="str">
        <f aca="false">IF(E8="","",IFERROR(INDEX('Employee master'!$B$2:$B$54,MATCH(E8,'Employee master'!$A$2:$A$54,0)),"Code not in master"))</f>
        <v/>
      </c>
      <c r="G8" s="0" t="str">
        <f aca="false">IF(E8="","",IF(COUNTIF($E$2:$E$51,E8)&gt;1,"Duplicate code",""))</f>
        <v/>
      </c>
    </row>
    <row r="9" customFormat="false" ht="15" hidden="false" customHeight="false" outlineLevel="0" collapsed="false">
      <c r="A9" s="5" t="n">
        <v>8</v>
      </c>
      <c r="B9" s="5" t="s">
        <v>154</v>
      </c>
      <c r="C9" s="5"/>
      <c r="D9" s="5" t="n">
        <v>26</v>
      </c>
      <c r="E9" s="6"/>
      <c r="F9" s="5" t="str">
        <f aca="false">IF(E9="","",IFERROR(INDEX('Employee master'!$B$2:$B$54,MATCH(E9,'Employee master'!$A$2:$A$54,0)),"Code not in master"))</f>
        <v/>
      </c>
      <c r="G9" s="0" t="str">
        <f aca="false">IF(E9="","",IF(COUNTIF($E$2:$E$51,E9)&gt;1,"Duplicate code",""))</f>
        <v/>
      </c>
    </row>
    <row r="10" customFormat="false" ht="15" hidden="false" customHeight="false" outlineLevel="0" collapsed="false">
      <c r="A10" s="5" t="n">
        <v>9</v>
      </c>
      <c r="B10" s="5" t="s">
        <v>154</v>
      </c>
      <c r="C10" s="5"/>
      <c r="D10" s="5" t="n">
        <v>26</v>
      </c>
      <c r="E10" s="6"/>
      <c r="F10" s="5" t="str">
        <f aca="false">IF(E10="","",IFERROR(INDEX('Employee master'!$B$2:$B$54,MATCH(E10,'Employee master'!$A$2:$A$54,0)),"Code not in master"))</f>
        <v/>
      </c>
      <c r="G10" s="0" t="str">
        <f aca="false">IF(E10="","",IF(COUNTIF($E$2:$E$51,E10)&gt;1,"Duplicate code",""))</f>
        <v/>
      </c>
    </row>
    <row r="11" customFormat="false" ht="15" hidden="false" customHeight="false" outlineLevel="0" collapsed="false">
      <c r="A11" s="5" t="n">
        <v>10</v>
      </c>
      <c r="B11" s="5" t="s">
        <v>154</v>
      </c>
      <c r="C11" s="5"/>
      <c r="D11" s="5" t="n">
        <v>13</v>
      </c>
      <c r="E11" s="6"/>
      <c r="F11" s="5" t="str">
        <f aca="false">IF(E11="","",IFERROR(INDEX('Employee master'!$B$2:$B$54,MATCH(E11,'Employee master'!$A$2:$A$54,0)),"Code not in master"))</f>
        <v/>
      </c>
      <c r="G11" s="0" t="str">
        <f aca="false">IF(E11="","",IF(COUNTIF($E$2:$E$51,E11)&gt;1,"Duplicate code",""))</f>
        <v/>
      </c>
    </row>
    <row r="12" customFormat="false" ht="15" hidden="false" customHeight="false" outlineLevel="0" collapsed="false">
      <c r="A12" s="5" t="n">
        <v>11</v>
      </c>
      <c r="B12" s="5" t="s">
        <v>154</v>
      </c>
      <c r="C12" s="5"/>
      <c r="D12" s="5" t="n">
        <v>26</v>
      </c>
      <c r="E12" s="6"/>
      <c r="F12" s="5" t="str">
        <f aca="false">IF(E12="","",IFERROR(INDEX('Employee master'!$B$2:$B$54,MATCH(E12,'Employee master'!$A$2:$A$54,0)),"Code not in master"))</f>
        <v/>
      </c>
      <c r="G12" s="0" t="str">
        <f aca="false">IF(E12="","",IF(COUNTIF($E$2:$E$51,E12)&gt;1,"Duplicate code",""))</f>
        <v/>
      </c>
    </row>
    <row r="13" customFormat="false" ht="15" hidden="false" customHeight="false" outlineLevel="0" collapsed="false">
      <c r="A13" s="5" t="n">
        <v>12</v>
      </c>
      <c r="B13" s="5" t="s">
        <v>154</v>
      </c>
      <c r="C13" s="5"/>
      <c r="D13" s="5" t="n">
        <v>26</v>
      </c>
      <c r="E13" s="6"/>
      <c r="F13" s="5" t="str">
        <f aca="false">IF(E13="","",IFERROR(INDEX('Employee master'!$B$2:$B$54,MATCH(E13,'Employee master'!$A$2:$A$54,0)),"Code not in master"))</f>
        <v/>
      </c>
      <c r="G13" s="0" t="str">
        <f aca="false">IF(E13="","",IF(COUNTIF($E$2:$E$51,E13)&gt;1,"Duplicate code",""))</f>
        <v/>
      </c>
    </row>
    <row r="14" customFormat="false" ht="15" hidden="false" customHeight="false" outlineLevel="0" collapsed="false">
      <c r="A14" s="5" t="n">
        <v>13</v>
      </c>
      <c r="B14" s="5" t="s">
        <v>154</v>
      </c>
      <c r="C14" s="5"/>
      <c r="D14" s="5" t="n">
        <v>26</v>
      </c>
      <c r="E14" s="6"/>
      <c r="F14" s="5" t="str">
        <f aca="false">IF(E14="","",IFERROR(INDEX('Employee master'!$B$2:$B$54,MATCH(E14,'Employee master'!$A$2:$A$54,0)),"Code not in master"))</f>
        <v/>
      </c>
      <c r="G14" s="0" t="str">
        <f aca="false">IF(E14="","",IF(COUNTIF($E$2:$E$51,E14)&gt;1,"Duplicate code",""))</f>
        <v/>
      </c>
    </row>
    <row r="15" customFormat="false" ht="15" hidden="false" customHeight="false" outlineLevel="0" collapsed="false">
      <c r="A15" s="5" t="n">
        <v>14</v>
      </c>
      <c r="B15" s="5" t="s">
        <v>154</v>
      </c>
      <c r="C15" s="5"/>
      <c r="D15" s="5" t="n">
        <v>26</v>
      </c>
      <c r="E15" s="6"/>
      <c r="F15" s="5" t="str">
        <f aca="false">IF(E15="","",IFERROR(INDEX('Employee master'!$B$2:$B$54,MATCH(E15,'Employee master'!$A$2:$A$54,0)),"Code not in master"))</f>
        <v/>
      </c>
      <c r="G15" s="0" t="str">
        <f aca="false">IF(E15="","",IF(COUNTIF($E$2:$E$51,E15)&gt;1,"Duplicate code",""))</f>
        <v/>
      </c>
    </row>
    <row r="16" customFormat="false" ht="15" hidden="false" customHeight="false" outlineLevel="0" collapsed="false">
      <c r="A16" s="5" t="n">
        <v>15</v>
      </c>
      <c r="B16" s="5" t="s">
        <v>154</v>
      </c>
      <c r="C16" s="5"/>
      <c r="D16" s="5" t="n">
        <v>26</v>
      </c>
      <c r="E16" s="6"/>
      <c r="F16" s="5" t="str">
        <f aca="false">IF(E16="","",IFERROR(INDEX('Employee master'!$B$2:$B$54,MATCH(E16,'Employee master'!$A$2:$A$54,0)),"Code not in master"))</f>
        <v/>
      </c>
      <c r="G16" s="0" t="str">
        <f aca="false">IF(E16="","",IF(COUNTIF($E$2:$E$51,E16)&gt;1,"Duplicate code",""))</f>
        <v/>
      </c>
    </row>
    <row r="17" customFormat="false" ht="15" hidden="false" customHeight="false" outlineLevel="0" collapsed="false">
      <c r="A17" s="5" t="n">
        <v>16</v>
      </c>
      <c r="B17" s="5" t="s">
        <v>154</v>
      </c>
      <c r="C17" s="5"/>
      <c r="D17" s="5" t="n">
        <v>25</v>
      </c>
      <c r="E17" s="6"/>
      <c r="F17" s="5" t="str">
        <f aca="false">IF(E17="","",IFERROR(INDEX('Employee master'!$B$2:$B$54,MATCH(E17,'Employee master'!$A$2:$A$54,0)),"Code not in master"))</f>
        <v/>
      </c>
      <c r="G17" s="0" t="str">
        <f aca="false">IF(E17="","",IF(COUNTIF($E$2:$E$51,E17)&gt;1,"Duplicate code",""))</f>
        <v/>
      </c>
    </row>
    <row r="18" customFormat="false" ht="15" hidden="false" customHeight="false" outlineLevel="0" collapsed="false">
      <c r="A18" s="5" t="n">
        <v>17</v>
      </c>
      <c r="B18" s="5" t="s">
        <v>154</v>
      </c>
      <c r="C18" s="5"/>
      <c r="D18" s="5" t="n">
        <v>19</v>
      </c>
      <c r="E18" s="6"/>
      <c r="F18" s="5" t="str">
        <f aca="false">IF(E18="","",IFERROR(INDEX('Employee master'!$B$2:$B$54,MATCH(E18,'Employee master'!$A$2:$A$54,0)),"Code not in master"))</f>
        <v/>
      </c>
      <c r="G18" s="0" t="str">
        <f aca="false">IF(E18="","",IF(COUNTIF($E$2:$E$51,E18)&gt;1,"Duplicate code",""))</f>
        <v/>
      </c>
    </row>
    <row r="19" customFormat="false" ht="15" hidden="false" customHeight="false" outlineLevel="0" collapsed="false">
      <c r="A19" s="5" t="n">
        <v>18</v>
      </c>
      <c r="B19" s="5" t="s">
        <v>154</v>
      </c>
      <c r="C19" s="5"/>
      <c r="D19" s="5" t="n">
        <v>26</v>
      </c>
      <c r="E19" s="6"/>
      <c r="F19" s="5" t="str">
        <f aca="false">IF(E19="","",IFERROR(INDEX('Employee master'!$B$2:$B$54,MATCH(E19,'Employee master'!$A$2:$A$54,0)),"Code not in master"))</f>
        <v/>
      </c>
      <c r="G19" s="0" t="str">
        <f aca="false">IF(E19="","",IF(COUNTIF($E$2:$E$51,E19)&gt;1,"Duplicate code",""))</f>
        <v/>
      </c>
    </row>
    <row r="20" customFormat="false" ht="15" hidden="false" customHeight="false" outlineLevel="0" collapsed="false">
      <c r="A20" s="5" t="n">
        <v>19</v>
      </c>
      <c r="B20" s="5" t="s">
        <v>154</v>
      </c>
      <c r="C20" s="5"/>
      <c r="D20" s="5" t="n">
        <v>26</v>
      </c>
      <c r="E20" s="6"/>
      <c r="F20" s="5" t="str">
        <f aca="false">IF(E20="","",IFERROR(INDEX('Employee master'!$B$2:$B$54,MATCH(E20,'Employee master'!$A$2:$A$54,0)),"Code not in master"))</f>
        <v/>
      </c>
      <c r="G20" s="0" t="str">
        <f aca="false">IF(E20="","",IF(COUNTIF($E$2:$E$51,E20)&gt;1,"Duplicate code",""))</f>
        <v/>
      </c>
    </row>
    <row r="21" customFormat="false" ht="15" hidden="false" customHeight="false" outlineLevel="0" collapsed="false">
      <c r="A21" s="5" t="n">
        <v>20</v>
      </c>
      <c r="B21" s="5" t="s">
        <v>155</v>
      </c>
      <c r="C21" s="5"/>
      <c r="D21" s="5" t="n">
        <v>26</v>
      </c>
      <c r="E21" s="6"/>
      <c r="F21" s="5" t="str">
        <f aca="false">IF(E21="","",IFERROR(INDEX('Employee master'!$B$2:$B$54,MATCH(E21,'Employee master'!$A$2:$A$54,0)),"Code not in master"))</f>
        <v/>
      </c>
      <c r="G21" s="0" t="str">
        <f aca="false">IF(E21="","",IF(COUNTIF($E$2:$E$51,E21)&gt;1,"Duplicate code",""))</f>
        <v/>
      </c>
    </row>
    <row r="22" customFormat="false" ht="15" hidden="false" customHeight="false" outlineLevel="0" collapsed="false">
      <c r="A22" s="5" t="n">
        <v>21</v>
      </c>
      <c r="B22" s="5" t="s">
        <v>154</v>
      </c>
      <c r="C22" s="5"/>
      <c r="D22" s="5" t="n">
        <v>26</v>
      </c>
      <c r="E22" s="6"/>
      <c r="F22" s="5" t="str">
        <f aca="false">IF(E22="","",IFERROR(INDEX('Employee master'!$B$2:$B$54,MATCH(E22,'Employee master'!$A$2:$A$54,0)),"Code not in master"))</f>
        <v/>
      </c>
      <c r="G22" s="0" t="str">
        <f aca="false">IF(E22="","",IF(COUNTIF($E$2:$E$51,E22)&gt;1,"Duplicate code",""))</f>
        <v/>
      </c>
    </row>
    <row r="23" customFormat="false" ht="15" hidden="false" customHeight="false" outlineLevel="0" collapsed="false">
      <c r="A23" s="5" t="n">
        <v>22</v>
      </c>
      <c r="B23" s="5" t="s">
        <v>156</v>
      </c>
      <c r="C23" s="5"/>
      <c r="D23" s="5" t="n">
        <v>26</v>
      </c>
      <c r="E23" s="6"/>
      <c r="F23" s="5" t="str">
        <f aca="false">IF(E23="","",IFERROR(INDEX('Employee master'!$B$2:$B$54,MATCH(E23,'Employee master'!$A$2:$A$54,0)),"Code not in master"))</f>
        <v/>
      </c>
      <c r="G23" s="0" t="str">
        <f aca="false">IF(E23="","",IF(COUNTIF($E$2:$E$51,E23)&gt;1,"Duplicate code",""))</f>
        <v/>
      </c>
    </row>
    <row r="24" customFormat="false" ht="15" hidden="false" customHeight="false" outlineLevel="0" collapsed="false">
      <c r="A24" s="5" t="n">
        <v>23</v>
      </c>
      <c r="B24" s="5" t="s">
        <v>157</v>
      </c>
      <c r="C24" s="5"/>
      <c r="D24" s="5" t="n">
        <v>26</v>
      </c>
      <c r="E24" s="6"/>
      <c r="F24" s="5" t="str">
        <f aca="false">IF(E24="","",IFERROR(INDEX('Employee master'!$B$2:$B$54,MATCH(E24,'Employee master'!$A$2:$A$54,0)),"Code not in master"))</f>
        <v/>
      </c>
      <c r="G24" s="0" t="str">
        <f aca="false">IF(E24="","",IF(COUNTIF($E$2:$E$51,E24)&gt;1,"Duplicate code",""))</f>
        <v/>
      </c>
    </row>
    <row r="25" customFormat="false" ht="15" hidden="false" customHeight="false" outlineLevel="0" collapsed="false">
      <c r="A25" s="5" t="n">
        <v>24</v>
      </c>
      <c r="B25" s="5" t="s">
        <v>154</v>
      </c>
      <c r="C25" s="5"/>
      <c r="D25" s="5" t="n">
        <v>26</v>
      </c>
      <c r="E25" s="6"/>
      <c r="F25" s="5" t="str">
        <f aca="false">IF(E25="","",IFERROR(INDEX('Employee master'!$B$2:$B$54,MATCH(E25,'Employee master'!$A$2:$A$54,0)),"Code not in master"))</f>
        <v/>
      </c>
      <c r="G25" s="0" t="str">
        <f aca="false">IF(E25="","",IF(COUNTIF($E$2:$E$51,E25)&gt;1,"Duplicate code",""))</f>
        <v/>
      </c>
    </row>
    <row r="26" customFormat="false" ht="15" hidden="false" customHeight="false" outlineLevel="0" collapsed="false">
      <c r="A26" s="5" t="n">
        <v>25</v>
      </c>
      <c r="B26" s="5" t="s">
        <v>158</v>
      </c>
      <c r="C26" s="5"/>
      <c r="D26" s="5" t="n">
        <v>25</v>
      </c>
      <c r="E26" s="6"/>
      <c r="F26" s="5" t="str">
        <f aca="false">IF(E26="","",IFERROR(INDEX('Employee master'!$B$2:$B$54,MATCH(E26,'Employee master'!$A$2:$A$54,0)),"Code not in master"))</f>
        <v/>
      </c>
      <c r="G26" s="0" t="str">
        <f aca="false">IF(E26="","",IF(COUNTIF($E$2:$E$51,E26)&gt;1,"Duplicate code",""))</f>
        <v/>
      </c>
    </row>
    <row r="27" customFormat="false" ht="15" hidden="false" customHeight="false" outlineLevel="0" collapsed="false">
      <c r="A27" s="5" t="n">
        <v>26</v>
      </c>
      <c r="B27" s="5" t="s">
        <v>159</v>
      </c>
      <c r="C27" s="5"/>
      <c r="D27" s="5" t="n">
        <v>26</v>
      </c>
      <c r="E27" s="6"/>
      <c r="F27" s="5" t="str">
        <f aca="false">IF(E27="","",IFERROR(INDEX('Employee master'!$B$2:$B$54,MATCH(E27,'Employee master'!$A$2:$A$54,0)),"Code not in master"))</f>
        <v/>
      </c>
      <c r="G27" s="0" t="str">
        <f aca="false">IF(E27="","",IF(COUNTIF($E$2:$E$51,E27)&gt;1,"Duplicate code",""))</f>
        <v/>
      </c>
    </row>
    <row r="28" customFormat="false" ht="15" hidden="false" customHeight="false" outlineLevel="0" collapsed="false">
      <c r="A28" s="5" t="n">
        <v>27</v>
      </c>
      <c r="B28" s="5" t="s">
        <v>160</v>
      </c>
      <c r="C28" s="5"/>
      <c r="D28" s="5" t="n">
        <v>26</v>
      </c>
      <c r="E28" s="6"/>
      <c r="F28" s="5" t="str">
        <f aca="false">IF(E28="","",IFERROR(INDEX('Employee master'!$B$2:$B$54,MATCH(E28,'Employee master'!$A$2:$A$54,0)),"Code not in master"))</f>
        <v/>
      </c>
      <c r="G28" s="0" t="str">
        <f aca="false">IF(E28="","",IF(COUNTIF($E$2:$E$51,E28)&gt;1,"Duplicate code",""))</f>
        <v/>
      </c>
    </row>
    <row r="29" customFormat="false" ht="15" hidden="false" customHeight="false" outlineLevel="0" collapsed="false">
      <c r="A29" s="5" t="n">
        <v>28</v>
      </c>
      <c r="B29" s="5" t="s">
        <v>161</v>
      </c>
      <c r="C29" s="5"/>
      <c r="D29" s="5" t="n">
        <v>26</v>
      </c>
      <c r="E29" s="6"/>
      <c r="F29" s="5" t="str">
        <f aca="false">IF(E29="","",IFERROR(INDEX('Employee master'!$B$2:$B$54,MATCH(E29,'Employee master'!$A$2:$A$54,0)),"Code not in master"))</f>
        <v/>
      </c>
      <c r="G29" s="0" t="str">
        <f aca="false">IF(E29="","",IF(COUNTIF($E$2:$E$51,E29)&gt;1,"Duplicate code",""))</f>
        <v/>
      </c>
    </row>
    <row r="30" customFormat="false" ht="15" hidden="false" customHeight="false" outlineLevel="0" collapsed="false">
      <c r="A30" s="5" t="n">
        <v>29</v>
      </c>
      <c r="B30" s="5" t="s">
        <v>162</v>
      </c>
      <c r="C30" s="5"/>
      <c r="D30" s="5" t="n">
        <v>26</v>
      </c>
      <c r="E30" s="6"/>
      <c r="F30" s="5" t="str">
        <f aca="false">IF(E30="","",IFERROR(INDEX('Employee master'!$B$2:$B$54,MATCH(E30,'Employee master'!$A$2:$A$54,0)),"Code not in master"))</f>
        <v/>
      </c>
      <c r="G30" s="0" t="str">
        <f aca="false">IF(E30="","",IF(COUNTIF($E$2:$E$51,E30)&gt;1,"Duplicate code",""))</f>
        <v/>
      </c>
    </row>
    <row r="31" customFormat="false" ht="15" hidden="false" customHeight="false" outlineLevel="0" collapsed="false">
      <c r="A31" s="5" t="n">
        <v>30</v>
      </c>
      <c r="B31" s="5" t="s">
        <v>163</v>
      </c>
      <c r="C31" s="5"/>
      <c r="D31" s="5" t="n">
        <v>26</v>
      </c>
      <c r="E31" s="6"/>
      <c r="F31" s="5" t="str">
        <f aca="false">IF(E31="","",IFERROR(INDEX('Employee master'!$B$2:$B$54,MATCH(E31,'Employee master'!$A$2:$A$54,0)),"Code not in master"))</f>
        <v/>
      </c>
      <c r="G31" s="0" t="str">
        <f aca="false">IF(E31="","",IF(COUNTIF($E$2:$E$51,E31)&gt;1,"Duplicate code",""))</f>
        <v/>
      </c>
    </row>
    <row r="32" customFormat="false" ht="15" hidden="false" customHeight="false" outlineLevel="0" collapsed="false">
      <c r="A32" s="5" t="n">
        <v>31</v>
      </c>
      <c r="B32" s="5" t="s">
        <v>163</v>
      </c>
      <c r="C32" s="5"/>
      <c r="D32" s="5" t="n">
        <v>26</v>
      </c>
      <c r="E32" s="6"/>
      <c r="F32" s="5" t="str">
        <f aca="false">IF(E32="","",IFERROR(INDEX('Employee master'!$B$2:$B$54,MATCH(E32,'Employee master'!$A$2:$A$54,0)),"Code not in master"))</f>
        <v/>
      </c>
      <c r="G32" s="0" t="str">
        <f aca="false">IF(E32="","",IF(COUNTIF($E$2:$E$51,E32)&gt;1,"Duplicate code",""))</f>
        <v/>
      </c>
    </row>
    <row r="33" customFormat="false" ht="15" hidden="false" customHeight="false" outlineLevel="0" collapsed="false">
      <c r="A33" s="5" t="n">
        <v>32</v>
      </c>
      <c r="B33" s="5" t="s">
        <v>164</v>
      </c>
      <c r="C33" s="5"/>
      <c r="D33" s="5" t="n">
        <v>26</v>
      </c>
      <c r="E33" s="6"/>
      <c r="F33" s="5" t="str">
        <f aca="false">IF(E33="","",IFERROR(INDEX('Employee master'!$B$2:$B$54,MATCH(E33,'Employee master'!$A$2:$A$54,0)),"Code not in master"))</f>
        <v/>
      </c>
      <c r="G33" s="0" t="str">
        <f aca="false">IF(E33="","",IF(COUNTIF($E$2:$E$51,E33)&gt;1,"Duplicate code",""))</f>
        <v/>
      </c>
    </row>
    <row r="34" customFormat="false" ht="15" hidden="false" customHeight="false" outlineLevel="0" collapsed="false">
      <c r="A34" s="5" t="n">
        <v>33</v>
      </c>
      <c r="B34" s="5" t="s">
        <v>165</v>
      </c>
      <c r="C34" s="5"/>
      <c r="D34" s="5" t="n">
        <v>26</v>
      </c>
      <c r="E34" s="6"/>
      <c r="F34" s="5" t="str">
        <f aca="false">IF(E34="","",IFERROR(INDEX('Employee master'!$B$2:$B$54,MATCH(E34,'Employee master'!$A$2:$A$54,0)),"Code not in master"))</f>
        <v/>
      </c>
      <c r="G34" s="0" t="str">
        <f aca="false">IF(E34="","",IF(COUNTIF($E$2:$E$51,E34)&gt;1,"Duplicate code",""))</f>
        <v/>
      </c>
    </row>
    <row r="35" customFormat="false" ht="15" hidden="false" customHeight="false" outlineLevel="0" collapsed="false">
      <c r="A35" s="5" t="n">
        <v>34</v>
      </c>
      <c r="B35" s="5" t="s">
        <v>166</v>
      </c>
      <c r="C35" s="5"/>
      <c r="D35" s="5" t="n">
        <v>11</v>
      </c>
      <c r="E35" s="6"/>
      <c r="F35" s="5" t="str">
        <f aca="false">IF(E35="","",IFERROR(INDEX('Employee master'!$B$2:$B$54,MATCH(E35,'Employee master'!$A$2:$A$54,0)),"Code not in master"))</f>
        <v/>
      </c>
      <c r="G35" s="0" t="str">
        <f aca="false">IF(E35="","",IF(COUNTIF($E$2:$E$51,E35)&gt;1,"Duplicate code",""))</f>
        <v/>
      </c>
    </row>
    <row r="36" customFormat="false" ht="15" hidden="false" customHeight="false" outlineLevel="0" collapsed="false">
      <c r="A36" s="5" t="n">
        <v>35</v>
      </c>
      <c r="B36" s="5" t="s">
        <v>167</v>
      </c>
      <c r="C36" s="5"/>
      <c r="D36" s="5" t="n">
        <v>26</v>
      </c>
      <c r="E36" s="6"/>
      <c r="F36" s="5" t="str">
        <f aca="false">IF(E36="","",IFERROR(INDEX('Employee master'!$B$2:$B$54,MATCH(E36,'Employee master'!$A$2:$A$54,0)),"Code not in master"))</f>
        <v/>
      </c>
      <c r="G36" s="0" t="str">
        <f aca="false">IF(E36="","",IF(COUNTIF($E$2:$E$51,E36)&gt;1,"Duplicate code",""))</f>
        <v/>
      </c>
    </row>
    <row r="37" customFormat="false" ht="15" hidden="false" customHeight="false" outlineLevel="0" collapsed="false">
      <c r="A37" s="5" t="n">
        <v>36</v>
      </c>
      <c r="B37" s="5" t="s">
        <v>168</v>
      </c>
      <c r="C37" s="5"/>
      <c r="D37" s="5" t="n">
        <v>26</v>
      </c>
      <c r="E37" s="6"/>
      <c r="F37" s="5" t="str">
        <f aca="false">IF(E37="","",IFERROR(INDEX('Employee master'!$B$2:$B$54,MATCH(E37,'Employee master'!$A$2:$A$54,0)),"Code not in master"))</f>
        <v/>
      </c>
      <c r="G37" s="0" t="str">
        <f aca="false">IF(E37="","",IF(COUNTIF($E$2:$E$51,E37)&gt;1,"Duplicate code",""))</f>
        <v/>
      </c>
    </row>
    <row r="38" customFormat="false" ht="15" hidden="false" customHeight="false" outlineLevel="0" collapsed="false">
      <c r="A38" s="5" t="n">
        <v>37</v>
      </c>
      <c r="B38" s="5" t="s">
        <v>154</v>
      </c>
      <c r="C38" s="5"/>
      <c r="D38" s="5" t="n">
        <v>25</v>
      </c>
      <c r="E38" s="6"/>
      <c r="F38" s="5" t="str">
        <f aca="false">IF(E38="","",IFERROR(INDEX('Employee master'!$B$2:$B$54,MATCH(E38,'Employee master'!$A$2:$A$54,0)),"Code not in master"))</f>
        <v/>
      </c>
      <c r="G38" s="0" t="str">
        <f aca="false">IF(E38="","",IF(COUNTIF($E$2:$E$51,E38)&gt;1,"Duplicate code",""))</f>
        <v/>
      </c>
    </row>
    <row r="39" customFormat="false" ht="15" hidden="false" customHeight="false" outlineLevel="0" collapsed="false">
      <c r="A39" s="5" t="n">
        <v>38</v>
      </c>
      <c r="B39" s="5" t="s">
        <v>169</v>
      </c>
      <c r="C39" s="5"/>
      <c r="D39" s="5" t="n">
        <v>25</v>
      </c>
      <c r="E39" s="6"/>
      <c r="F39" s="5" t="str">
        <f aca="false">IF(E39="","",IFERROR(INDEX('Employee master'!$B$2:$B$54,MATCH(E39,'Employee master'!$A$2:$A$54,0)),"Code not in master"))</f>
        <v/>
      </c>
      <c r="G39" s="0" t="str">
        <f aca="false">IF(E39="","",IF(COUNTIF($E$2:$E$51,E39)&gt;1,"Duplicate code",""))</f>
        <v/>
      </c>
    </row>
    <row r="40" customFormat="false" ht="15" hidden="false" customHeight="false" outlineLevel="0" collapsed="false">
      <c r="A40" s="5" t="n">
        <v>39</v>
      </c>
      <c r="B40" s="5" t="s">
        <v>170</v>
      </c>
      <c r="C40" s="5"/>
      <c r="D40" s="5" t="n">
        <v>26</v>
      </c>
      <c r="E40" s="6"/>
      <c r="F40" s="5" t="str">
        <f aca="false">IF(E40="","",IFERROR(INDEX('Employee master'!$B$2:$B$54,MATCH(E40,'Employee master'!$A$2:$A$54,0)),"Code not in master"))</f>
        <v/>
      </c>
      <c r="G40" s="0" t="str">
        <f aca="false">IF(E40="","",IF(COUNTIF($E$2:$E$51,E40)&gt;1,"Duplicate code",""))</f>
        <v/>
      </c>
    </row>
    <row r="41" customFormat="false" ht="15" hidden="false" customHeight="false" outlineLevel="0" collapsed="false">
      <c r="A41" s="5" t="n">
        <v>40</v>
      </c>
      <c r="B41" s="5" t="s">
        <v>171</v>
      </c>
      <c r="C41" s="5"/>
      <c r="D41" s="5" t="n">
        <v>26</v>
      </c>
      <c r="E41" s="6"/>
      <c r="F41" s="5" t="str">
        <f aca="false">IF(E41="","",IFERROR(INDEX('Employee master'!$B$2:$B$54,MATCH(E41,'Employee master'!$A$2:$A$54,0)),"Code not in master"))</f>
        <v/>
      </c>
      <c r="G41" s="0" t="str">
        <f aca="false">IF(E41="","",IF(COUNTIF($E$2:$E$51,E41)&gt;1,"Duplicate code",""))</f>
        <v/>
      </c>
    </row>
    <row r="42" customFormat="false" ht="15" hidden="false" customHeight="false" outlineLevel="0" collapsed="false">
      <c r="A42" s="5" t="n">
        <v>41</v>
      </c>
      <c r="B42" s="5"/>
      <c r="C42" s="5"/>
      <c r="D42" s="5" t="n">
        <v>26</v>
      </c>
      <c r="E42" s="6"/>
      <c r="F42" s="5" t="str">
        <f aca="false">IF(E42="","",IFERROR(INDEX('Employee master'!$B$2:$B$54,MATCH(E42,'Employee master'!$A$2:$A$54,0)),"Code not in master"))</f>
        <v/>
      </c>
      <c r="G42" s="0" t="str">
        <f aca="false">IF(E42="","",IF(COUNTIF($E$2:$E$51,E42)&gt;1,"Duplicate code",""))</f>
        <v/>
      </c>
    </row>
    <row r="43" customFormat="false" ht="15" hidden="false" customHeight="false" outlineLevel="0" collapsed="false">
      <c r="A43" s="5" t="n">
        <v>42</v>
      </c>
      <c r="B43" s="5"/>
      <c r="C43" s="5"/>
      <c r="D43" s="5" t="n">
        <v>26</v>
      </c>
      <c r="E43" s="6"/>
      <c r="F43" s="5" t="str">
        <f aca="false">IF(E43="","",IFERROR(INDEX('Employee master'!$B$2:$B$54,MATCH(E43,'Employee master'!$A$2:$A$54,0)),"Code not in master"))</f>
        <v/>
      </c>
      <c r="G43" s="0" t="str">
        <f aca="false">IF(E43="","",IF(COUNTIF($E$2:$E$51,E43)&gt;1,"Duplicate code",""))</f>
        <v/>
      </c>
    </row>
    <row r="44" customFormat="false" ht="15" hidden="false" customHeight="false" outlineLevel="0" collapsed="false">
      <c r="A44" s="5" t="n">
        <v>43</v>
      </c>
      <c r="B44" s="5" t="s">
        <v>172</v>
      </c>
      <c r="C44" s="5"/>
      <c r="D44" s="5" t="n">
        <v>26</v>
      </c>
      <c r="E44" s="6"/>
      <c r="F44" s="5" t="str">
        <f aca="false">IF(E44="","",IFERROR(INDEX('Employee master'!$B$2:$B$54,MATCH(E44,'Employee master'!$A$2:$A$54,0)),"Code not in master"))</f>
        <v/>
      </c>
      <c r="G44" s="0" t="str">
        <f aca="false">IF(E44="","",IF(COUNTIF($E$2:$E$51,E44)&gt;1,"Duplicate code",""))</f>
        <v/>
      </c>
    </row>
    <row r="45" customFormat="false" ht="15" hidden="false" customHeight="false" outlineLevel="0" collapsed="false">
      <c r="A45" s="5" t="n">
        <v>44</v>
      </c>
      <c r="B45" s="5"/>
      <c r="C45" s="5"/>
      <c r="D45" s="5" t="n">
        <v>26</v>
      </c>
      <c r="E45" s="6"/>
      <c r="F45" s="5" t="str">
        <f aca="false">IF(E45="","",IFERROR(INDEX('Employee master'!$B$2:$B$54,MATCH(E45,'Employee master'!$A$2:$A$54,0)),"Code not in master"))</f>
        <v/>
      </c>
      <c r="G45" s="0" t="str">
        <f aca="false">IF(E45="","",IF(COUNTIF($E$2:$E$51,E45)&gt;1,"Duplicate code",""))</f>
        <v/>
      </c>
    </row>
    <row r="46" customFormat="false" ht="15" hidden="false" customHeight="false" outlineLevel="0" collapsed="false">
      <c r="A46" s="5" t="n">
        <v>45</v>
      </c>
      <c r="B46" s="5"/>
      <c r="C46" s="5"/>
      <c r="D46" s="5" t="n">
        <v>26</v>
      </c>
      <c r="E46" s="6"/>
      <c r="F46" s="5" t="str">
        <f aca="false">IF(E46="","",IFERROR(INDEX('Employee master'!$B$2:$B$54,MATCH(E46,'Employee master'!$A$2:$A$54,0)),"Code not in master"))</f>
        <v/>
      </c>
      <c r="G46" s="0" t="str">
        <f aca="false">IF(E46="","",IF(COUNTIF($E$2:$E$51,E46)&gt;1,"Duplicate code",""))</f>
        <v/>
      </c>
    </row>
    <row r="47" customFormat="false" ht="15" hidden="false" customHeight="false" outlineLevel="0" collapsed="false">
      <c r="A47" s="5" t="n">
        <v>46</v>
      </c>
      <c r="B47" s="5" t="s">
        <v>173</v>
      </c>
      <c r="C47" s="5" t="s">
        <v>174</v>
      </c>
      <c r="D47" s="5" t="n">
        <v>25</v>
      </c>
      <c r="E47" s="6"/>
      <c r="F47" s="5" t="str">
        <f aca="false">IF(E47="","",IFERROR(INDEX('Employee master'!$B$2:$B$54,MATCH(E47,'Employee master'!$A$2:$A$54,0)),"Code not in master"))</f>
        <v/>
      </c>
      <c r="G47" s="0" t="str">
        <f aca="false">IF(E47="","",IF(COUNTIF($E$2:$E$51,E47)&gt;1,"Duplicate code",""))</f>
        <v/>
      </c>
    </row>
    <row r="48" customFormat="false" ht="15" hidden="false" customHeight="false" outlineLevel="0" collapsed="false">
      <c r="A48" s="5" t="n">
        <v>47</v>
      </c>
      <c r="B48" s="5" t="s">
        <v>175</v>
      </c>
      <c r="C48" s="5" t="s">
        <v>176</v>
      </c>
      <c r="D48" s="5" t="n">
        <v>26</v>
      </c>
      <c r="E48" s="6"/>
      <c r="F48" s="5" t="str">
        <f aca="false">IF(E48="","",IFERROR(INDEX('Employee master'!$B$2:$B$54,MATCH(E48,'Employee master'!$A$2:$A$54,0)),"Code not in master"))</f>
        <v/>
      </c>
      <c r="G48" s="0" t="str">
        <f aca="false">IF(E48="","",IF(COUNTIF($E$2:$E$51,E48)&gt;1,"Duplicate code",""))</f>
        <v/>
      </c>
    </row>
    <row r="49" customFormat="false" ht="15" hidden="false" customHeight="false" outlineLevel="0" collapsed="false">
      <c r="A49" s="5" t="n">
        <v>48</v>
      </c>
      <c r="B49" s="5" t="s">
        <v>173</v>
      </c>
      <c r="C49" s="5" t="s">
        <v>177</v>
      </c>
      <c r="D49" s="5" t="n">
        <v>26</v>
      </c>
      <c r="E49" s="6"/>
      <c r="F49" s="5" t="str">
        <f aca="false">IF(E49="","",IFERROR(INDEX('Employee master'!$B$2:$B$54,MATCH(E49,'Employee master'!$A$2:$A$54,0)),"Code not in master"))</f>
        <v/>
      </c>
      <c r="G49" s="0" t="str">
        <f aca="false">IF(E49="","",IF(COUNTIF($E$2:$E$51,E49)&gt;1,"Duplicate code",""))</f>
        <v/>
      </c>
    </row>
    <row r="50" customFormat="false" ht="15" hidden="false" customHeight="false" outlineLevel="0" collapsed="false">
      <c r="A50" s="5" t="n">
        <v>51</v>
      </c>
      <c r="B50" s="5" t="s">
        <v>178</v>
      </c>
      <c r="C50" s="5" t="s">
        <v>179</v>
      </c>
      <c r="D50" s="5" t="n">
        <v>26</v>
      </c>
      <c r="E50" s="6"/>
      <c r="F50" s="5" t="str">
        <f aca="false">IF(E50="","",IFERROR(INDEX('Employee master'!$B$2:$B$54,MATCH(E50,'Employee master'!$A$2:$A$54,0)),"Code not in master"))</f>
        <v/>
      </c>
      <c r="G50" s="0" t="str">
        <f aca="false">IF(E50="","",IF(COUNTIF($E$2:$E$51,E50)&gt;1,"Duplicate code",""))</f>
        <v/>
      </c>
    </row>
    <row r="51" customFormat="false" ht="15" hidden="false" customHeight="false" outlineLevel="0" collapsed="false">
      <c r="A51" s="5" t="n">
        <v>50</v>
      </c>
      <c r="B51" s="5" t="s">
        <v>180</v>
      </c>
      <c r="C51" s="5"/>
      <c r="D51" s="5" t="n">
        <v>4</v>
      </c>
      <c r="E51" s="6"/>
      <c r="F51" s="5" t="str">
        <f aca="false">IF(E51="","",IFERROR(INDEX('Employee master'!$B$2:$B$54,MATCH(E51,'Employee master'!$A$2:$A$54,0)),"Code not in master"))</f>
        <v/>
      </c>
      <c r="G51" s="0" t="str">
        <f aca="false">IF(E51="","",IF(COUNTIF($E$2:$E$51,E51)&gt;1,"Duplicate code",""))</f>
        <v/>
      </c>
    </row>
    <row r="53" customFormat="false" ht="15" hidden="false" customHeight="false" outlineLevel="0" collapsed="false">
      <c r="A53" s="0" t="s">
        <v>181</v>
      </c>
    </row>
  </sheetData>
  <dataValidations count="1">
    <dataValidation allowBlank="true" errorStyle="stop" operator="between" showDropDown="false" showErrorMessage="false" showInputMessage="false" sqref="E2:E51" type="list">
      <formula1>'Employee master'!$A$2:$A$54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28"/>
  </cols>
  <sheetData>
    <row r="1" customFormat="false" ht="26.85" hidden="false" customHeight="false" outlineLevel="0" collapsed="false">
      <c r="A1" s="4" t="s">
        <v>182</v>
      </c>
      <c r="B1" s="4" t="s">
        <v>183</v>
      </c>
      <c r="C1" s="4" t="s">
        <v>184</v>
      </c>
    </row>
    <row r="2" customFormat="false" ht="15" hidden="false" customHeight="false" outlineLevel="0" collapsed="false">
      <c r="A2" s="5" t="s">
        <v>185</v>
      </c>
      <c r="B2" s="5" t="s">
        <v>186</v>
      </c>
      <c r="C2" s="5"/>
    </row>
    <row r="3" customFormat="false" ht="15" hidden="false" customHeight="false" outlineLevel="0" collapsed="false">
      <c r="A3" s="5" t="s">
        <v>187</v>
      </c>
      <c r="B3" s="5" t="s">
        <v>188</v>
      </c>
      <c r="C3" s="5"/>
    </row>
    <row r="4" customFormat="false" ht="15" hidden="false" customHeight="false" outlineLevel="0" collapsed="false">
      <c r="A4" s="5" t="s">
        <v>189</v>
      </c>
      <c r="B4" s="5" t="s">
        <v>190</v>
      </c>
      <c r="C4" s="5"/>
    </row>
    <row r="5" customFormat="false" ht="15" hidden="false" customHeight="false" outlineLevel="0" collapsed="false">
      <c r="A5" s="5" t="s">
        <v>191</v>
      </c>
      <c r="B5" s="5" t="s">
        <v>192</v>
      </c>
      <c r="C5" s="5"/>
    </row>
    <row r="6" customFormat="false" ht="15" hidden="false" customHeight="false" outlineLevel="0" collapsed="false">
      <c r="A6" s="5" t="s">
        <v>193</v>
      </c>
      <c r="B6" s="5" t="s">
        <v>194</v>
      </c>
      <c r="C6" s="5"/>
    </row>
    <row r="7" customFormat="false" ht="15" hidden="false" customHeight="false" outlineLevel="0" collapsed="false">
      <c r="A7" s="5" t="s">
        <v>141</v>
      </c>
      <c r="B7" s="5" t="s">
        <v>195</v>
      </c>
      <c r="C7" s="5" t="s">
        <v>138</v>
      </c>
    </row>
    <row r="8" customFormat="false" ht="15" hidden="false" customHeight="false" outlineLevel="0" collapsed="false">
      <c r="A8" s="5" t="s">
        <v>196</v>
      </c>
      <c r="B8" s="5" t="s">
        <v>197</v>
      </c>
      <c r="C8" s="5"/>
    </row>
    <row r="9" customFormat="false" ht="15" hidden="false" customHeight="false" outlineLevel="0" collapsed="false">
      <c r="A9" s="5" t="s">
        <v>198</v>
      </c>
      <c r="B9" s="5" t="s">
        <v>199</v>
      </c>
      <c r="C9" s="5"/>
    </row>
    <row r="10" customFormat="false" ht="15" hidden="false" customHeight="false" outlineLevel="0" collapsed="false">
      <c r="A10" s="5" t="s">
        <v>101</v>
      </c>
      <c r="B10" s="5" t="s">
        <v>99</v>
      </c>
      <c r="C10" s="5" t="s">
        <v>98</v>
      </c>
    </row>
    <row r="11" customFormat="false" ht="15" hidden="false" customHeight="false" outlineLevel="0" collapsed="false">
      <c r="A11" s="5" t="s">
        <v>200</v>
      </c>
      <c r="B11" s="5" t="s">
        <v>201</v>
      </c>
      <c r="C11" s="5"/>
    </row>
    <row r="12" customFormat="false" ht="15" hidden="false" customHeight="false" outlineLevel="0" collapsed="false">
      <c r="A12" s="5" t="s">
        <v>202</v>
      </c>
      <c r="B12" s="5" t="s">
        <v>203</v>
      </c>
      <c r="C12" s="5"/>
    </row>
    <row r="13" customFormat="false" ht="15" hidden="false" customHeight="false" outlineLevel="0" collapsed="false">
      <c r="A13" s="5" t="s">
        <v>204</v>
      </c>
      <c r="B13" s="5" t="s">
        <v>205</v>
      </c>
      <c r="C13" s="5"/>
    </row>
    <row r="14" customFormat="false" ht="15" hidden="false" customHeight="false" outlineLevel="0" collapsed="false">
      <c r="A14" s="5" t="s">
        <v>206</v>
      </c>
      <c r="B14" s="5" t="s">
        <v>207</v>
      </c>
      <c r="C14" s="5"/>
    </row>
    <row r="15" customFormat="false" ht="15" hidden="false" customHeight="false" outlineLevel="0" collapsed="false">
      <c r="A15" s="5" t="s">
        <v>208</v>
      </c>
      <c r="B15" s="5" t="s">
        <v>209</v>
      </c>
      <c r="C15" s="5"/>
    </row>
    <row r="16" customFormat="false" ht="15" hidden="false" customHeight="false" outlineLevel="0" collapsed="false">
      <c r="A16" s="5" t="s">
        <v>210</v>
      </c>
      <c r="B16" s="5" t="s">
        <v>211</v>
      </c>
      <c r="C16" s="5"/>
    </row>
    <row r="17" customFormat="false" ht="15" hidden="false" customHeight="false" outlineLevel="0" collapsed="false">
      <c r="A17" s="5" t="s">
        <v>110</v>
      </c>
      <c r="B17" s="5" t="s">
        <v>212</v>
      </c>
      <c r="C17" s="5" t="s">
        <v>105</v>
      </c>
    </row>
    <row r="18" customFormat="false" ht="15" hidden="false" customHeight="false" outlineLevel="0" collapsed="false">
      <c r="A18" s="5" t="s">
        <v>126</v>
      </c>
      <c r="B18" s="5" t="s">
        <v>213</v>
      </c>
      <c r="C18" s="5" t="s">
        <v>122</v>
      </c>
    </row>
    <row r="19" customFormat="false" ht="15" hidden="false" customHeight="false" outlineLevel="0" collapsed="false">
      <c r="A19" s="5" t="s">
        <v>124</v>
      </c>
      <c r="B19" s="5" t="s">
        <v>214</v>
      </c>
      <c r="C19" s="5" t="s">
        <v>122</v>
      </c>
    </row>
    <row r="20" customFormat="false" ht="15" hidden="false" customHeight="false" outlineLevel="0" collapsed="false">
      <c r="A20" s="5" t="s">
        <v>128</v>
      </c>
      <c r="B20" s="5" t="s">
        <v>215</v>
      </c>
      <c r="C20" s="5" t="s">
        <v>122</v>
      </c>
    </row>
    <row r="21" customFormat="false" ht="15" hidden="false" customHeight="false" outlineLevel="0" collapsed="false">
      <c r="A21" s="5" t="s">
        <v>216</v>
      </c>
      <c r="B21" s="5" t="s">
        <v>217</v>
      </c>
      <c r="C21" s="5"/>
    </row>
    <row r="22" customFormat="false" ht="15" hidden="false" customHeight="false" outlineLevel="0" collapsed="false">
      <c r="A22" s="5" t="s">
        <v>218</v>
      </c>
      <c r="B22" s="5" t="s">
        <v>219</v>
      </c>
      <c r="C22" s="5"/>
    </row>
    <row r="23" customFormat="false" ht="15" hidden="false" customHeight="false" outlineLevel="0" collapsed="false">
      <c r="A23" s="5" t="s">
        <v>220</v>
      </c>
      <c r="B23" s="5" t="s">
        <v>221</v>
      </c>
      <c r="C23" s="5"/>
    </row>
    <row r="24" customFormat="false" ht="15" hidden="false" customHeight="false" outlineLevel="0" collapsed="false">
      <c r="A24" s="5" t="s">
        <v>222</v>
      </c>
      <c r="B24" s="5" t="s">
        <v>223</v>
      </c>
      <c r="C24" s="5"/>
    </row>
    <row r="25" customFormat="false" ht="15" hidden="false" customHeight="false" outlineLevel="0" collapsed="false">
      <c r="A25" s="5" t="s">
        <v>224</v>
      </c>
      <c r="B25" s="5" t="s">
        <v>225</v>
      </c>
      <c r="C25" s="5"/>
    </row>
    <row r="26" customFormat="false" ht="15" hidden="false" customHeight="false" outlineLevel="0" collapsed="false">
      <c r="A26" s="5" t="s">
        <v>226</v>
      </c>
      <c r="B26" s="5" t="s">
        <v>227</v>
      </c>
      <c r="C26" s="5"/>
    </row>
    <row r="27" customFormat="false" ht="15" hidden="false" customHeight="false" outlineLevel="0" collapsed="false">
      <c r="A27" s="5" t="s">
        <v>228</v>
      </c>
      <c r="B27" s="5" t="s">
        <v>229</v>
      </c>
      <c r="C27" s="5"/>
    </row>
    <row r="28" customFormat="false" ht="15" hidden="false" customHeight="false" outlineLevel="0" collapsed="false">
      <c r="A28" s="5" t="s">
        <v>230</v>
      </c>
      <c r="B28" s="5" t="s">
        <v>231</v>
      </c>
      <c r="C28" s="5"/>
    </row>
    <row r="29" customFormat="false" ht="15" hidden="false" customHeight="false" outlineLevel="0" collapsed="false">
      <c r="A29" s="5" t="s">
        <v>108</v>
      </c>
      <c r="B29" s="5" t="s">
        <v>232</v>
      </c>
      <c r="C29" s="5" t="s">
        <v>105</v>
      </c>
    </row>
    <row r="30" customFormat="false" ht="15" hidden="false" customHeight="false" outlineLevel="0" collapsed="false">
      <c r="A30" s="5" t="s">
        <v>233</v>
      </c>
      <c r="B30" s="5" t="s">
        <v>234</v>
      </c>
      <c r="C30" s="5"/>
    </row>
    <row r="31" customFormat="false" ht="15" hidden="false" customHeight="false" outlineLevel="0" collapsed="false">
      <c r="A31" s="5" t="s">
        <v>235</v>
      </c>
      <c r="B31" s="5" t="s">
        <v>236</v>
      </c>
      <c r="C31" s="5"/>
    </row>
    <row r="32" customFormat="false" ht="15" hidden="false" customHeight="false" outlineLevel="0" collapsed="false">
      <c r="A32" s="5" t="s">
        <v>237</v>
      </c>
      <c r="B32" s="5" t="s">
        <v>238</v>
      </c>
      <c r="C32" s="5"/>
    </row>
    <row r="33" customFormat="false" ht="15" hidden="false" customHeight="false" outlineLevel="0" collapsed="false">
      <c r="A33" s="5" t="s">
        <v>239</v>
      </c>
      <c r="B33" s="5" t="s">
        <v>240</v>
      </c>
      <c r="C33" s="5"/>
    </row>
    <row r="34" customFormat="false" ht="15" hidden="false" customHeight="false" outlineLevel="0" collapsed="false">
      <c r="A34" s="5" t="s">
        <v>241</v>
      </c>
      <c r="B34" s="5" t="s">
        <v>242</v>
      </c>
      <c r="C34" s="5"/>
    </row>
    <row r="35" customFormat="false" ht="15" hidden="false" customHeight="false" outlineLevel="0" collapsed="false">
      <c r="A35" s="5" t="s">
        <v>243</v>
      </c>
      <c r="B35" s="5" t="s">
        <v>244</v>
      </c>
      <c r="C35" s="5"/>
    </row>
    <row r="36" customFormat="false" ht="15" hidden="false" customHeight="false" outlineLevel="0" collapsed="false">
      <c r="A36" s="5" t="s">
        <v>245</v>
      </c>
      <c r="B36" s="5" t="s">
        <v>246</v>
      </c>
      <c r="C36" s="5"/>
    </row>
    <row r="37" customFormat="false" ht="15" hidden="false" customHeight="false" outlineLevel="0" collapsed="false">
      <c r="A37" s="5" t="s">
        <v>247</v>
      </c>
      <c r="B37" s="5" t="s">
        <v>248</v>
      </c>
      <c r="C37" s="5"/>
    </row>
    <row r="38" customFormat="false" ht="15" hidden="false" customHeight="false" outlineLevel="0" collapsed="false">
      <c r="A38" s="5" t="s">
        <v>249</v>
      </c>
      <c r="B38" s="5" t="s">
        <v>250</v>
      </c>
      <c r="C38" s="5"/>
    </row>
    <row r="39" customFormat="false" ht="15" hidden="false" customHeight="false" outlineLevel="0" collapsed="false">
      <c r="A39" s="5" t="s">
        <v>251</v>
      </c>
      <c r="B39" s="5" t="s">
        <v>252</v>
      </c>
      <c r="C39" s="5"/>
    </row>
    <row r="40" customFormat="false" ht="15" hidden="false" customHeight="false" outlineLevel="0" collapsed="false">
      <c r="A40" s="5" t="s">
        <v>253</v>
      </c>
      <c r="B40" s="5" t="s">
        <v>254</v>
      </c>
      <c r="C40" s="5"/>
    </row>
    <row r="41" customFormat="false" ht="15" hidden="false" customHeight="false" outlineLevel="0" collapsed="false">
      <c r="A41" s="5" t="s">
        <v>255</v>
      </c>
      <c r="B41" s="5" t="s">
        <v>256</v>
      </c>
      <c r="C41" s="5"/>
    </row>
    <row r="42" customFormat="false" ht="15" hidden="false" customHeight="false" outlineLevel="0" collapsed="false">
      <c r="A42" s="5" t="s">
        <v>257</v>
      </c>
      <c r="B42" s="5" t="s">
        <v>258</v>
      </c>
      <c r="C42" s="5"/>
    </row>
    <row r="43" customFormat="false" ht="15" hidden="false" customHeight="false" outlineLevel="0" collapsed="false">
      <c r="A43" s="5" t="s">
        <v>259</v>
      </c>
      <c r="B43" s="5" t="s">
        <v>260</v>
      </c>
      <c r="C43" s="5"/>
    </row>
    <row r="44" customFormat="false" ht="15" hidden="false" customHeight="false" outlineLevel="0" collapsed="false">
      <c r="A44" s="5" t="s">
        <v>261</v>
      </c>
      <c r="B44" s="5" t="s">
        <v>262</v>
      </c>
      <c r="C44" s="5"/>
    </row>
    <row r="45" customFormat="false" ht="15" hidden="false" customHeight="false" outlineLevel="0" collapsed="false">
      <c r="A45" s="5" t="s">
        <v>263</v>
      </c>
      <c r="B45" s="5" t="s">
        <v>264</v>
      </c>
      <c r="C45" s="5"/>
    </row>
    <row r="46" customFormat="false" ht="15" hidden="false" customHeight="false" outlineLevel="0" collapsed="false">
      <c r="A46" s="5" t="s">
        <v>265</v>
      </c>
      <c r="B46" s="5" t="s">
        <v>266</v>
      </c>
      <c r="C46" s="5"/>
    </row>
    <row r="47" customFormat="false" ht="15" hidden="false" customHeight="false" outlineLevel="0" collapsed="false">
      <c r="A47" s="5" t="s">
        <v>267</v>
      </c>
      <c r="B47" s="5" t="s">
        <v>268</v>
      </c>
      <c r="C47" s="5"/>
    </row>
    <row r="48" customFormat="false" ht="15" hidden="false" customHeight="false" outlineLevel="0" collapsed="false">
      <c r="A48" s="5" t="s">
        <v>269</v>
      </c>
      <c r="B48" s="5" t="s">
        <v>270</v>
      </c>
      <c r="C48" s="5"/>
    </row>
    <row r="49" customFormat="false" ht="15" hidden="false" customHeight="false" outlineLevel="0" collapsed="false">
      <c r="A49" s="5" t="s">
        <v>271</v>
      </c>
      <c r="B49" s="5" t="s">
        <v>272</v>
      </c>
      <c r="C49" s="5"/>
    </row>
    <row r="50" customFormat="false" ht="15" hidden="false" customHeight="false" outlineLevel="0" collapsed="false">
      <c r="A50" s="5" t="s">
        <v>273</v>
      </c>
      <c r="B50" s="5" t="s">
        <v>274</v>
      </c>
      <c r="C50" s="5"/>
    </row>
    <row r="51" customFormat="false" ht="15" hidden="false" customHeight="false" outlineLevel="0" collapsed="false">
      <c r="A51" s="5" t="s">
        <v>147</v>
      </c>
      <c r="B51" s="5" t="s">
        <v>275</v>
      </c>
      <c r="C51" s="5" t="s">
        <v>143</v>
      </c>
    </row>
    <row r="52" customFormat="false" ht="15" hidden="false" customHeight="false" outlineLevel="0" collapsed="false">
      <c r="A52" s="5" t="s">
        <v>276</v>
      </c>
      <c r="B52" s="5" t="s">
        <v>277</v>
      </c>
      <c r="C52" s="5"/>
    </row>
    <row r="53" customFormat="false" ht="15" hidden="false" customHeight="false" outlineLevel="0" collapsed="false">
      <c r="A53" s="5" t="s">
        <v>278</v>
      </c>
      <c r="B53" s="5" t="s">
        <v>279</v>
      </c>
      <c r="C53" s="5"/>
    </row>
    <row r="54" customFormat="false" ht="15" hidden="false" customHeight="false" outlineLevel="0" collapsed="false">
      <c r="A54" s="5" t="s">
        <v>280</v>
      </c>
      <c r="B54" s="5" t="s">
        <v>281</v>
      </c>
      <c r="C5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2026-10-12T07:22:21Z</dcterms:created>
  <dc:creator>openpyxl</dc:creator>
  <dc:description/>
  <dc:language>en-US</dc:language>
  <cp:lastModifiedBy/>
  <dcterms:modified xsi:type="dcterms:W3CDTF">2026-10-12T07:22:21Z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